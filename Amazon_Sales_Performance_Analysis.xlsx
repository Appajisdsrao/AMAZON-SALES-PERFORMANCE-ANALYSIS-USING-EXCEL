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drawings/drawing7.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8.xml" ContentType="application/vnd.openxmlformats-officedocument.drawing+xml"/>
  <Override PartName="/xl/slicers/slicer2.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purl.oclc.org/ooxml/officeDocument/relationships/extendedProperties" Target="docProps/app.xml"/><Relationship Id="rId2" Type="http://schemas.openxmlformats.org/package/2006/relationships/metadata/core-properties" Target="docProps/core.xml"/><Relationship Id="rId1" Type="http://purl.oclc.org/ooxml/officeDocument/relationships/officeDocument" Target="xl/workbook.xml"/></Relationships>
</file>

<file path=xl/workbook.xml><?xml version="1.0" encoding="utf-8"?>
<workbook xmlns="http://purl.oclc.org/ooxml/spreadsheetml/main" xmlns:r="http://purl.oclc.org/ooxml/officeDocument/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conformance="strict">
  <fileVersion appName="xl" lastEdited="7" lowestEdited="7" rupBuild="24326"/>
  <workbookPr dateCompatibility="0" defaultThemeVersion="166925"/>
  <mc:AlternateContent xmlns:mc="http://schemas.openxmlformats.org/markup-compatibility/2006">
    <mc:Choice Requires="x15">
      <x15ac:absPath xmlns:x15ac="http://schemas.microsoft.com/office/spreadsheetml/2010/11/ac" url="C:\Users\Sri Dharma\OneDrive\Desktop\excel project innomatics\"/>
    </mc:Choice>
  </mc:AlternateContent>
  <xr:revisionPtr revIDLastSave="0" documentId="13_ncr:9_{EA611B32-AA98-4A4C-8C73-B31A625A86A7}" xr6:coauthVersionLast="47" xr6:coauthVersionMax="47" xr10:uidLastSave="{00000000-0000-0000-0000-000000000000}"/>
  <bookViews>
    <workbookView xWindow="-110" yWindow="-110" windowWidth="25820" windowHeight="13900" activeTab="10" xr2:uid="{00000000-000D-0000-FFFF-FFFF00000000}"/>
  </bookViews>
  <sheets>
    <sheet name="amazon_sales_data 2025" sheetId="1" r:id="rId1"/>
    <sheet name="Raw_Data" sheetId="2" r:id="rId2"/>
    <sheet name="Cleaned_Data" sheetId="3" r:id="rId3"/>
    <sheet name="PVT_Category" sheetId="5" r:id="rId4"/>
    <sheet name="PVT_Product" sheetId="6" r:id="rId5"/>
    <sheet name="PVT_Location" sheetId="7" r:id="rId6"/>
    <sheet name="PVT_Payment" sheetId="8" r:id="rId7"/>
    <sheet name="PVT_Status" sheetId="9" r:id="rId8"/>
    <sheet name="PVT_Customer" sheetId="10" r:id="rId9"/>
    <sheet name="PVT_Month" sheetId="11" r:id="rId10"/>
    <sheet name="Dashboard" sheetId="12" r:id="rId11"/>
  </sheets>
  <definedNames>
    <definedName name="Slicer_Category">#N/A</definedName>
    <definedName name="Slicer_Customer_Location">#N/A</definedName>
    <definedName name="Slicer_Payment_Method">#N/A</definedName>
    <definedName name="Slicer_Status">#N/A</definedName>
    <definedName name="Slicer_Total_Sales">#N/A</definedName>
  </definedNames>
  <calcPr calcId="191029"/>
  <pivotCaches>
    <pivotCache cacheId="1" r:id="rId12"/>
  </pivotCaches>
  <extLst>
    <ext xmlns:x14="http://schemas.microsoft.com/office/spreadsheetml/2009/9/main" uri="{BBE1A952-AA13-448e-AADC-164F8A28A991}">
      <x14:slicerCaches>
        <x14:slicerCache r:id="rId13"/>
        <x14:slicerCache r:id="rId14"/>
        <x14:slicerCache r:id="rId15"/>
        <x14:slicerCache r:id="rId16"/>
        <x14:slicerCache r:id="rId1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purl.oclc.org/ooxml/spreadsheetml/main">
  <c r="O2" i="3" l="1"/>
  <c r="L2" i="3"/>
  <c r="M2" i="3"/>
  <c r="O3" i="3"/>
  <c r="O4" i="3"/>
  <c r="O5" i="3"/>
  <c r="O6" i="3"/>
  <c r="O7" i="3"/>
  <c r="O8" i="3"/>
  <c r="O9" i="3"/>
  <c r="O10" i="3"/>
  <c r="O11" i="3"/>
  <c r="O12" i="3"/>
  <c r="O13" i="3"/>
  <c r="O14" i="3"/>
  <c r="O15" i="3"/>
  <c r="O16" i="3"/>
  <c r="O17" i="3"/>
  <c r="O18" i="3"/>
  <c r="O19" i="3"/>
  <c r="O20" i="3"/>
  <c r="O21" i="3"/>
  <c r="O22" i="3"/>
  <c r="O23" i="3"/>
  <c r="O24" i="3"/>
  <c r="O25" i="3"/>
  <c r="O26" i="3"/>
  <c r="O27" i="3"/>
  <c r="O28" i="3"/>
  <c r="O29" i="3"/>
  <c r="O30" i="3"/>
  <c r="O31" i="3"/>
  <c r="O32" i="3"/>
  <c r="O33" i="3"/>
  <c r="O34" i="3"/>
  <c r="O35" i="3"/>
  <c r="O36" i="3"/>
  <c r="O37" i="3"/>
  <c r="O38" i="3"/>
  <c r="O39" i="3"/>
  <c r="O40" i="3"/>
  <c r="O41" i="3"/>
  <c r="O42" i="3"/>
  <c r="O43" i="3"/>
  <c r="O44" i="3"/>
  <c r="O45" i="3"/>
  <c r="O46" i="3"/>
  <c r="O47" i="3"/>
  <c r="O48" i="3"/>
  <c r="O49" i="3"/>
  <c r="O50" i="3"/>
  <c r="O51" i="3"/>
  <c r="O52" i="3"/>
  <c r="O53" i="3"/>
  <c r="O54" i="3"/>
  <c r="O55" i="3"/>
  <c r="O56" i="3"/>
  <c r="O57" i="3"/>
  <c r="O58" i="3"/>
  <c r="O59" i="3"/>
  <c r="O60" i="3"/>
  <c r="O61" i="3"/>
  <c r="O62" i="3"/>
  <c r="O63" i="3"/>
  <c r="O64" i="3"/>
  <c r="O65" i="3"/>
  <c r="O66" i="3"/>
  <c r="O67" i="3"/>
  <c r="O68" i="3"/>
  <c r="O69" i="3"/>
  <c r="O70" i="3"/>
  <c r="O71" i="3"/>
  <c r="O72" i="3"/>
  <c r="O73" i="3"/>
  <c r="O74" i="3"/>
  <c r="O75" i="3"/>
  <c r="O76" i="3"/>
  <c r="O77" i="3"/>
  <c r="O78" i="3"/>
  <c r="O79" i="3"/>
  <c r="O80" i="3"/>
  <c r="O81" i="3"/>
  <c r="O82" i="3"/>
  <c r="O83" i="3"/>
  <c r="O84" i="3"/>
  <c r="O85" i="3"/>
  <c r="O86" i="3"/>
  <c r="O87" i="3"/>
  <c r="O88" i="3"/>
  <c r="O89" i="3"/>
  <c r="O90" i="3"/>
  <c r="O91" i="3"/>
  <c r="O92" i="3"/>
  <c r="O93" i="3"/>
  <c r="O94" i="3"/>
  <c r="O95" i="3"/>
  <c r="O96" i="3"/>
  <c r="O97" i="3"/>
  <c r="O98" i="3"/>
  <c r="O99" i="3"/>
  <c r="O100" i="3"/>
  <c r="O101" i="3"/>
  <c r="O102" i="3"/>
  <c r="O103" i="3"/>
  <c r="O104" i="3"/>
  <c r="O105" i="3"/>
  <c r="O106" i="3"/>
  <c r="O107" i="3"/>
  <c r="O108" i="3"/>
  <c r="O109" i="3"/>
  <c r="O110" i="3"/>
  <c r="O111" i="3"/>
  <c r="O112" i="3"/>
  <c r="O113" i="3"/>
  <c r="O114" i="3"/>
  <c r="O115" i="3"/>
  <c r="O116" i="3"/>
  <c r="O117" i="3"/>
  <c r="O118" i="3"/>
  <c r="O119" i="3"/>
  <c r="O120" i="3"/>
  <c r="O121" i="3"/>
  <c r="O122" i="3"/>
  <c r="O123" i="3"/>
  <c r="O124" i="3"/>
  <c r="O125" i="3"/>
  <c r="O126" i="3"/>
  <c r="O127" i="3"/>
  <c r="O128" i="3"/>
  <c r="O129" i="3"/>
  <c r="O130" i="3"/>
  <c r="O131" i="3"/>
  <c r="O132" i="3"/>
  <c r="O133" i="3"/>
  <c r="O134" i="3"/>
  <c r="O135" i="3"/>
  <c r="O136" i="3"/>
  <c r="O137" i="3"/>
  <c r="O138" i="3"/>
  <c r="O139" i="3"/>
  <c r="O140" i="3"/>
  <c r="O141" i="3"/>
  <c r="O142" i="3"/>
  <c r="O143" i="3"/>
  <c r="O144" i="3"/>
  <c r="O145" i="3"/>
  <c r="O146" i="3"/>
  <c r="O147" i="3"/>
  <c r="O148" i="3"/>
  <c r="O149" i="3"/>
  <c r="O150" i="3"/>
  <c r="O151" i="3"/>
  <c r="O152" i="3"/>
  <c r="O153" i="3"/>
  <c r="O154" i="3"/>
  <c r="O155" i="3"/>
  <c r="O156" i="3"/>
  <c r="O157" i="3"/>
  <c r="O158" i="3"/>
  <c r="O159" i="3"/>
  <c r="O160" i="3"/>
  <c r="O161" i="3"/>
  <c r="O162" i="3"/>
  <c r="O163" i="3"/>
  <c r="O164" i="3"/>
  <c r="O165" i="3"/>
  <c r="O166" i="3"/>
  <c r="O167" i="3"/>
  <c r="O168" i="3"/>
  <c r="O169" i="3"/>
  <c r="O170" i="3"/>
  <c r="O171" i="3"/>
  <c r="O172" i="3"/>
  <c r="O173" i="3"/>
  <c r="O174" i="3"/>
  <c r="O175" i="3"/>
  <c r="O176" i="3"/>
  <c r="O177" i="3"/>
  <c r="O178" i="3"/>
  <c r="O179" i="3"/>
  <c r="O180" i="3"/>
  <c r="O181" i="3"/>
  <c r="O182" i="3"/>
  <c r="O183" i="3"/>
  <c r="O184" i="3"/>
  <c r="O185" i="3"/>
  <c r="O186" i="3"/>
  <c r="O187" i="3"/>
  <c r="O188" i="3"/>
  <c r="O189" i="3"/>
  <c r="O190" i="3"/>
  <c r="O191" i="3"/>
  <c r="O192" i="3"/>
  <c r="O193" i="3"/>
  <c r="O194" i="3"/>
  <c r="O195" i="3"/>
  <c r="O196" i="3"/>
  <c r="O197" i="3"/>
  <c r="O198" i="3"/>
  <c r="O199" i="3"/>
  <c r="O200" i="3"/>
  <c r="O201" i="3"/>
  <c r="O202" i="3"/>
  <c r="O203" i="3"/>
  <c r="O204" i="3"/>
  <c r="O205" i="3"/>
  <c r="O206" i="3"/>
  <c r="O207" i="3"/>
  <c r="O208" i="3"/>
  <c r="O209" i="3"/>
  <c r="O210" i="3"/>
  <c r="O211" i="3"/>
  <c r="O212" i="3"/>
  <c r="O213" i="3"/>
  <c r="O214" i="3"/>
  <c r="O215" i="3"/>
  <c r="O216" i="3"/>
  <c r="O217" i="3"/>
  <c r="O218" i="3"/>
  <c r="O219" i="3"/>
  <c r="O220" i="3"/>
  <c r="O221" i="3"/>
  <c r="O222" i="3"/>
  <c r="O223" i="3"/>
  <c r="O224" i="3"/>
  <c r="O225" i="3"/>
  <c r="O226" i="3"/>
  <c r="O227" i="3"/>
  <c r="O228" i="3"/>
  <c r="O229" i="3"/>
  <c r="O230" i="3"/>
  <c r="O231" i="3"/>
  <c r="O232" i="3"/>
  <c r="O233" i="3"/>
  <c r="O234" i="3"/>
  <c r="O235" i="3"/>
  <c r="O236" i="3"/>
  <c r="O237" i="3"/>
  <c r="O238" i="3"/>
  <c r="O239" i="3"/>
  <c r="O240" i="3"/>
  <c r="O241" i="3"/>
  <c r="O242" i="3"/>
  <c r="O243" i="3"/>
  <c r="O244" i="3"/>
  <c r="O245" i="3"/>
  <c r="O246" i="3"/>
  <c r="O247" i="3"/>
  <c r="O248" i="3"/>
  <c r="O249" i="3"/>
  <c r="O250" i="3"/>
  <c r="O251" i="3"/>
  <c r="N2" i="3"/>
  <c r="N3" i="3"/>
  <c r="N4" i="3"/>
  <c r="N5" i="3"/>
  <c r="N6" i="3"/>
  <c r="N7" i="3"/>
  <c r="N8" i="3"/>
  <c r="N9" i="3"/>
  <c r="N10" i="3"/>
  <c r="N11" i="3"/>
  <c r="N12" i="3"/>
  <c r="N13" i="3"/>
  <c r="N14" i="3"/>
  <c r="N15" i="3"/>
  <c r="N16" i="3"/>
  <c r="N17" i="3"/>
  <c r="N18" i="3"/>
  <c r="N19" i="3"/>
  <c r="N20" i="3"/>
  <c r="N21" i="3"/>
  <c r="N22" i="3"/>
  <c r="N23" i="3"/>
  <c r="N24" i="3"/>
  <c r="N25" i="3"/>
  <c r="N26" i="3"/>
  <c r="N27" i="3"/>
  <c r="N28" i="3"/>
  <c r="N29" i="3"/>
  <c r="N30" i="3"/>
  <c r="N31" i="3"/>
  <c r="N32" i="3"/>
  <c r="N33" i="3"/>
  <c r="N34" i="3"/>
  <c r="N35" i="3"/>
  <c r="N36" i="3"/>
  <c r="N37" i="3"/>
  <c r="N38" i="3"/>
  <c r="N39" i="3"/>
  <c r="N40" i="3"/>
  <c r="N41" i="3"/>
  <c r="N42" i="3"/>
  <c r="N43" i="3"/>
  <c r="N44" i="3"/>
  <c r="N45" i="3"/>
  <c r="N46" i="3"/>
  <c r="N47" i="3"/>
  <c r="N48" i="3"/>
  <c r="N49" i="3"/>
  <c r="N50" i="3"/>
  <c r="N51" i="3"/>
  <c r="N52" i="3"/>
  <c r="N53" i="3"/>
  <c r="N54" i="3"/>
  <c r="N55" i="3"/>
  <c r="N56" i="3"/>
  <c r="N57" i="3"/>
  <c r="N58" i="3"/>
  <c r="N59" i="3"/>
  <c r="N60" i="3"/>
  <c r="N61" i="3"/>
  <c r="N62" i="3"/>
  <c r="N63" i="3"/>
  <c r="N64" i="3"/>
  <c r="N65" i="3"/>
  <c r="N66" i="3"/>
  <c r="N67" i="3"/>
  <c r="N68" i="3"/>
  <c r="N69" i="3"/>
  <c r="N70" i="3"/>
  <c r="N71" i="3"/>
  <c r="N72" i="3"/>
  <c r="N73" i="3"/>
  <c r="N74" i="3"/>
  <c r="N75" i="3"/>
  <c r="N76" i="3"/>
  <c r="N77" i="3"/>
  <c r="N78" i="3"/>
  <c r="N79" i="3"/>
  <c r="N80" i="3"/>
  <c r="N81" i="3"/>
  <c r="N82" i="3"/>
  <c r="N83" i="3"/>
  <c r="N84" i="3"/>
  <c r="N85" i="3"/>
  <c r="N86" i="3"/>
  <c r="N87" i="3"/>
  <c r="N88" i="3"/>
  <c r="N89" i="3"/>
  <c r="N90" i="3"/>
  <c r="N91" i="3"/>
  <c r="N92" i="3"/>
  <c r="N93" i="3"/>
  <c r="N94" i="3"/>
  <c r="N95" i="3"/>
  <c r="N96" i="3"/>
  <c r="N97" i="3"/>
  <c r="N98" i="3"/>
  <c r="N99" i="3"/>
  <c r="N100" i="3"/>
  <c r="N101" i="3"/>
  <c r="N102" i="3"/>
  <c r="N103" i="3"/>
  <c r="N104" i="3"/>
  <c r="N105" i="3"/>
  <c r="N106" i="3"/>
  <c r="N107" i="3"/>
  <c r="N108" i="3"/>
  <c r="N109" i="3"/>
  <c r="N110" i="3"/>
  <c r="N111" i="3"/>
  <c r="N112" i="3"/>
  <c r="N113" i="3"/>
  <c r="N114" i="3"/>
  <c r="N115" i="3"/>
  <c r="N116" i="3"/>
  <c r="N117" i="3"/>
  <c r="N118" i="3"/>
  <c r="N119" i="3"/>
  <c r="N120" i="3"/>
  <c r="N121" i="3"/>
  <c r="N122" i="3"/>
  <c r="N123" i="3"/>
  <c r="N124" i="3"/>
  <c r="N125" i="3"/>
  <c r="N126" i="3"/>
  <c r="N127" i="3"/>
  <c r="N128" i="3"/>
  <c r="N129" i="3"/>
  <c r="N130" i="3"/>
  <c r="N131" i="3"/>
  <c r="N132" i="3"/>
  <c r="N133" i="3"/>
  <c r="N134" i="3"/>
  <c r="N135" i="3"/>
  <c r="N136" i="3"/>
  <c r="N137" i="3"/>
  <c r="N138" i="3"/>
  <c r="N139" i="3"/>
  <c r="N140" i="3"/>
  <c r="N141" i="3"/>
  <c r="N142" i="3"/>
  <c r="N143" i="3"/>
  <c r="N144" i="3"/>
  <c r="N145" i="3"/>
  <c r="N146" i="3"/>
  <c r="N147" i="3"/>
  <c r="N148" i="3"/>
  <c r="N149" i="3"/>
  <c r="N150" i="3"/>
  <c r="N151" i="3"/>
  <c r="N152" i="3"/>
  <c r="N153" i="3"/>
  <c r="N154" i="3"/>
  <c r="N155" i="3"/>
  <c r="N156" i="3"/>
  <c r="N157" i="3"/>
  <c r="N158" i="3"/>
  <c r="N159" i="3"/>
  <c r="N160" i="3"/>
  <c r="N161" i="3"/>
  <c r="N162" i="3"/>
  <c r="N163" i="3"/>
  <c r="N164" i="3"/>
  <c r="N165" i="3"/>
  <c r="N166" i="3"/>
  <c r="N167" i="3"/>
  <c r="N168" i="3"/>
  <c r="N169" i="3"/>
  <c r="N170" i="3"/>
  <c r="N171" i="3"/>
  <c r="N172" i="3"/>
  <c r="N173" i="3"/>
  <c r="N174" i="3"/>
  <c r="N175" i="3"/>
  <c r="N176" i="3"/>
  <c r="N177" i="3"/>
  <c r="N178" i="3"/>
  <c r="N179" i="3"/>
  <c r="N180" i="3"/>
  <c r="N181" i="3"/>
  <c r="N182" i="3"/>
  <c r="N183" i="3"/>
  <c r="N184" i="3"/>
  <c r="N185" i="3"/>
  <c r="N186" i="3"/>
  <c r="N187" i="3"/>
  <c r="N188" i="3"/>
  <c r="N189" i="3"/>
  <c r="N190" i="3"/>
  <c r="N191" i="3"/>
  <c r="N192" i="3"/>
  <c r="N193" i="3"/>
  <c r="N194" i="3"/>
  <c r="N195" i="3"/>
  <c r="N196" i="3"/>
  <c r="N197" i="3"/>
  <c r="N198" i="3"/>
  <c r="N199" i="3"/>
  <c r="N200" i="3"/>
  <c r="N201" i="3"/>
  <c r="N202" i="3"/>
  <c r="N203" i="3"/>
  <c r="N204" i="3"/>
  <c r="N205" i="3"/>
  <c r="N206" i="3"/>
  <c r="N207" i="3"/>
  <c r="N208" i="3"/>
  <c r="N209" i="3"/>
  <c r="N210" i="3"/>
  <c r="N211" i="3"/>
  <c r="N212" i="3"/>
  <c r="N213" i="3"/>
  <c r="N214" i="3"/>
  <c r="N215" i="3"/>
  <c r="N216" i="3"/>
  <c r="N217" i="3"/>
  <c r="N218" i="3"/>
  <c r="N219" i="3"/>
  <c r="N220" i="3"/>
  <c r="N221" i="3"/>
  <c r="N222" i="3"/>
  <c r="N223" i="3"/>
  <c r="N224" i="3"/>
  <c r="N225" i="3"/>
  <c r="N226" i="3"/>
  <c r="N227" i="3"/>
  <c r="N228" i="3"/>
  <c r="N229" i="3"/>
  <c r="N230" i="3"/>
  <c r="N231" i="3"/>
  <c r="N232" i="3"/>
  <c r="N233" i="3"/>
  <c r="N234" i="3"/>
  <c r="N235" i="3"/>
  <c r="N236" i="3"/>
  <c r="N237" i="3"/>
  <c r="N238" i="3"/>
  <c r="N239" i="3"/>
  <c r="N240" i="3"/>
  <c r="N241" i="3"/>
  <c r="N242" i="3"/>
  <c r="N243" i="3"/>
  <c r="N244" i="3"/>
  <c r="N245" i="3"/>
  <c r="N246" i="3"/>
  <c r="N247" i="3"/>
  <c r="N248" i="3"/>
  <c r="N249" i="3"/>
  <c r="N250" i="3"/>
  <c r="N251" i="3"/>
  <c r="M3" i="3"/>
  <c r="M4" i="3"/>
  <c r="M5" i="3"/>
  <c r="M6" i="3"/>
  <c r="M7" i="3"/>
  <c r="M8" i="3"/>
  <c r="M9" i="3"/>
  <c r="M10" i="3"/>
  <c r="M11" i="3"/>
  <c r="M12" i="3"/>
  <c r="M13" i="3"/>
  <c r="M14" i="3"/>
  <c r="M15" i="3"/>
  <c r="M16" i="3"/>
  <c r="M17" i="3"/>
  <c r="M18" i="3"/>
  <c r="M19" i="3"/>
  <c r="M20" i="3"/>
  <c r="M21" i="3"/>
  <c r="M22" i="3"/>
  <c r="M23" i="3"/>
  <c r="M24" i="3"/>
  <c r="M25" i="3"/>
  <c r="M26" i="3"/>
  <c r="M27" i="3"/>
  <c r="M28" i="3"/>
  <c r="M29" i="3"/>
  <c r="M30" i="3"/>
  <c r="M31" i="3"/>
  <c r="M32" i="3"/>
  <c r="M33" i="3"/>
  <c r="M34" i="3"/>
  <c r="M35" i="3"/>
  <c r="M36" i="3"/>
  <c r="M37" i="3"/>
  <c r="M38" i="3"/>
  <c r="M39" i="3"/>
  <c r="M40" i="3"/>
  <c r="M41" i="3"/>
  <c r="M42" i="3"/>
  <c r="M43" i="3"/>
  <c r="M44" i="3"/>
  <c r="M45" i="3"/>
  <c r="M46" i="3"/>
  <c r="M47" i="3"/>
  <c r="M48" i="3"/>
  <c r="M49" i="3"/>
  <c r="M50" i="3"/>
  <c r="M51" i="3"/>
  <c r="M52" i="3"/>
  <c r="M53" i="3"/>
  <c r="M54" i="3"/>
  <c r="M55" i="3"/>
  <c r="M56" i="3"/>
  <c r="M57" i="3"/>
  <c r="M58" i="3"/>
  <c r="M59" i="3"/>
  <c r="M60" i="3"/>
  <c r="M61" i="3"/>
  <c r="M62" i="3"/>
  <c r="M63" i="3"/>
  <c r="M64" i="3"/>
  <c r="M65" i="3"/>
  <c r="M66" i="3"/>
  <c r="M67" i="3"/>
  <c r="M68" i="3"/>
  <c r="M69" i="3"/>
  <c r="M70" i="3"/>
  <c r="M71" i="3"/>
  <c r="M72" i="3"/>
  <c r="M73" i="3"/>
  <c r="M74" i="3"/>
  <c r="M75" i="3"/>
  <c r="M76" i="3"/>
  <c r="M77" i="3"/>
  <c r="M78" i="3"/>
  <c r="M79" i="3"/>
  <c r="M80" i="3"/>
  <c r="M81" i="3"/>
  <c r="M82" i="3"/>
  <c r="M83" i="3"/>
  <c r="M84" i="3"/>
  <c r="M85" i="3"/>
  <c r="M86" i="3"/>
  <c r="M87" i="3"/>
  <c r="M88" i="3"/>
  <c r="M89" i="3"/>
  <c r="M90" i="3"/>
  <c r="M91" i="3"/>
  <c r="M92" i="3"/>
  <c r="M93" i="3"/>
  <c r="M94" i="3"/>
  <c r="M95" i="3"/>
  <c r="M96" i="3"/>
  <c r="M97" i="3"/>
  <c r="M98" i="3"/>
  <c r="M99" i="3"/>
  <c r="M100" i="3"/>
  <c r="M101" i="3"/>
  <c r="M102" i="3"/>
  <c r="M103" i="3"/>
  <c r="M104" i="3"/>
  <c r="M105" i="3"/>
  <c r="M106" i="3"/>
  <c r="M107" i="3"/>
  <c r="M108" i="3"/>
  <c r="M109" i="3"/>
  <c r="M110" i="3"/>
  <c r="M111" i="3"/>
  <c r="M112" i="3"/>
  <c r="M113" i="3"/>
  <c r="M114" i="3"/>
  <c r="M115" i="3"/>
  <c r="M116" i="3"/>
  <c r="M117" i="3"/>
  <c r="M118" i="3"/>
  <c r="M119" i="3"/>
  <c r="M120" i="3"/>
  <c r="M121" i="3"/>
  <c r="M122" i="3"/>
  <c r="M123" i="3"/>
  <c r="M124" i="3"/>
  <c r="M125" i="3"/>
  <c r="M126" i="3"/>
  <c r="M127" i="3"/>
  <c r="M128" i="3"/>
  <c r="M129" i="3"/>
  <c r="M130" i="3"/>
  <c r="M131" i="3"/>
  <c r="M132" i="3"/>
  <c r="M133" i="3"/>
  <c r="M134" i="3"/>
  <c r="M135" i="3"/>
  <c r="M136" i="3"/>
  <c r="M137" i="3"/>
  <c r="M138" i="3"/>
  <c r="M139" i="3"/>
  <c r="M140" i="3"/>
  <c r="M141" i="3"/>
  <c r="M142" i="3"/>
  <c r="M143" i="3"/>
  <c r="M144" i="3"/>
  <c r="M145" i="3"/>
  <c r="M146" i="3"/>
  <c r="M147" i="3"/>
  <c r="M148" i="3"/>
  <c r="M149" i="3"/>
  <c r="M150" i="3"/>
  <c r="M151" i="3"/>
  <c r="M152" i="3"/>
  <c r="M153" i="3"/>
  <c r="M154" i="3"/>
  <c r="M155" i="3"/>
  <c r="M156" i="3"/>
  <c r="M157" i="3"/>
  <c r="M158" i="3"/>
  <c r="M159" i="3"/>
  <c r="M160" i="3"/>
  <c r="M161" i="3"/>
  <c r="M162" i="3"/>
  <c r="M163" i="3"/>
  <c r="M164" i="3"/>
  <c r="M165" i="3"/>
  <c r="M166" i="3"/>
  <c r="M167" i="3"/>
  <c r="M168" i="3"/>
  <c r="M169" i="3"/>
  <c r="M170" i="3"/>
  <c r="M171" i="3"/>
  <c r="M172" i="3"/>
  <c r="M173" i="3"/>
  <c r="M174" i="3"/>
  <c r="M175" i="3"/>
  <c r="M176" i="3"/>
  <c r="M177" i="3"/>
  <c r="M178" i="3"/>
  <c r="M179" i="3"/>
  <c r="M180" i="3"/>
  <c r="M181" i="3"/>
  <c r="M182" i="3"/>
  <c r="M183" i="3"/>
  <c r="M184" i="3"/>
  <c r="M185" i="3"/>
  <c r="M186" i="3"/>
  <c r="M187" i="3"/>
  <c r="M188" i="3"/>
  <c r="M189" i="3"/>
  <c r="M190" i="3"/>
  <c r="M191" i="3"/>
  <c r="M192" i="3"/>
  <c r="M193" i="3"/>
  <c r="M194" i="3"/>
  <c r="M195" i="3"/>
  <c r="M196" i="3"/>
  <c r="M197" i="3"/>
  <c r="M198" i="3"/>
  <c r="M199" i="3"/>
  <c r="M200" i="3"/>
  <c r="M201" i="3"/>
  <c r="M202" i="3"/>
  <c r="M203" i="3"/>
  <c r="M204" i="3"/>
  <c r="M205" i="3"/>
  <c r="M206" i="3"/>
  <c r="M207" i="3"/>
  <c r="M208" i="3"/>
  <c r="M209" i="3"/>
  <c r="M210" i="3"/>
  <c r="M211" i="3"/>
  <c r="M212" i="3"/>
  <c r="M213" i="3"/>
  <c r="M214" i="3"/>
  <c r="M215" i="3"/>
  <c r="M216" i="3"/>
  <c r="M217" i="3"/>
  <c r="M218" i="3"/>
  <c r="M219" i="3"/>
  <c r="M220" i="3"/>
  <c r="M221" i="3"/>
  <c r="M222" i="3"/>
  <c r="M223" i="3"/>
  <c r="M224" i="3"/>
  <c r="M225" i="3"/>
  <c r="M226" i="3"/>
  <c r="M227" i="3"/>
  <c r="M228" i="3"/>
  <c r="M229" i="3"/>
  <c r="M230" i="3"/>
  <c r="M231" i="3"/>
  <c r="M232" i="3"/>
  <c r="M233" i="3"/>
  <c r="M234" i="3"/>
  <c r="M235" i="3"/>
  <c r="M236" i="3"/>
  <c r="M237" i="3"/>
  <c r="M238" i="3"/>
  <c r="M239" i="3"/>
  <c r="M240" i="3"/>
  <c r="M241" i="3"/>
  <c r="M242" i="3"/>
  <c r="M243" i="3"/>
  <c r="M244" i="3"/>
  <c r="M245" i="3"/>
  <c r="M246" i="3"/>
  <c r="M247" i="3"/>
  <c r="M248" i="3"/>
  <c r="M249" i="3"/>
  <c r="M250" i="3"/>
  <c r="M251" i="3"/>
  <c r="L3" i="3"/>
  <c r="L4" i="3"/>
  <c r="L5" i="3"/>
  <c r="L6" i="3"/>
  <c r="L7" i="3"/>
  <c r="L8" i="3"/>
  <c r="L9" i="3"/>
  <c r="L10" i="3"/>
  <c r="L11" i="3"/>
  <c r="L12" i="3"/>
  <c r="L13" i="3"/>
  <c r="L14" i="3"/>
  <c r="L15" i="3"/>
  <c r="L16" i="3"/>
  <c r="L17" i="3"/>
  <c r="L18" i="3"/>
  <c r="L19" i="3"/>
  <c r="L20" i="3"/>
  <c r="L21" i="3"/>
  <c r="L22" i="3"/>
  <c r="L23" i="3"/>
  <c r="L24" i="3"/>
  <c r="L25" i="3"/>
  <c r="L26" i="3"/>
  <c r="L27" i="3"/>
  <c r="L28" i="3"/>
  <c r="L29" i="3"/>
  <c r="L30" i="3"/>
  <c r="L31" i="3"/>
  <c r="L32" i="3"/>
  <c r="L33" i="3"/>
  <c r="L34" i="3"/>
  <c r="L35" i="3"/>
  <c r="L36" i="3"/>
  <c r="L37" i="3"/>
  <c r="L38" i="3"/>
  <c r="L39" i="3"/>
  <c r="L40" i="3"/>
  <c r="L41" i="3"/>
  <c r="L42" i="3"/>
  <c r="L43" i="3"/>
  <c r="L44" i="3"/>
  <c r="L45" i="3"/>
  <c r="L46" i="3"/>
  <c r="L47" i="3"/>
  <c r="L48" i="3"/>
  <c r="L49" i="3"/>
  <c r="L50" i="3"/>
  <c r="L51" i="3"/>
  <c r="L52" i="3"/>
  <c r="L53" i="3"/>
  <c r="L54" i="3"/>
  <c r="L55" i="3"/>
  <c r="L56" i="3"/>
  <c r="L57" i="3"/>
  <c r="L58" i="3"/>
  <c r="L59" i="3"/>
  <c r="L60" i="3"/>
  <c r="L61" i="3"/>
  <c r="L62" i="3"/>
  <c r="L63" i="3"/>
  <c r="L64" i="3"/>
  <c r="L65" i="3"/>
  <c r="L66" i="3"/>
  <c r="L67" i="3"/>
  <c r="L68" i="3"/>
  <c r="L69" i="3"/>
  <c r="L70" i="3"/>
  <c r="L71" i="3"/>
  <c r="L72" i="3"/>
  <c r="L73" i="3"/>
  <c r="L74" i="3"/>
  <c r="L75" i="3"/>
  <c r="L76" i="3"/>
  <c r="L77" i="3"/>
  <c r="L78" i="3"/>
  <c r="L79" i="3"/>
  <c r="L80" i="3"/>
  <c r="L81" i="3"/>
  <c r="L82" i="3"/>
  <c r="L83" i="3"/>
  <c r="L84" i="3"/>
  <c r="L85" i="3"/>
  <c r="L86" i="3"/>
  <c r="L87" i="3"/>
  <c r="L88" i="3"/>
  <c r="L89" i="3"/>
  <c r="L90" i="3"/>
  <c r="L91" i="3"/>
  <c r="L92" i="3"/>
  <c r="L93" i="3"/>
  <c r="L94" i="3"/>
  <c r="L95" i="3"/>
  <c r="L96" i="3"/>
  <c r="L97" i="3"/>
  <c r="L98" i="3"/>
  <c r="L99" i="3"/>
  <c r="L100" i="3"/>
  <c r="L101" i="3"/>
  <c r="L102" i="3"/>
  <c r="L103" i="3"/>
  <c r="L104" i="3"/>
  <c r="L105" i="3"/>
  <c r="L106" i="3"/>
  <c r="L107" i="3"/>
  <c r="L108" i="3"/>
  <c r="L109" i="3"/>
  <c r="L110" i="3"/>
  <c r="L111" i="3"/>
  <c r="L112" i="3"/>
  <c r="L113" i="3"/>
  <c r="L114" i="3"/>
  <c r="L115" i="3"/>
  <c r="L116" i="3"/>
  <c r="L117" i="3"/>
  <c r="L118" i="3"/>
  <c r="L119" i="3"/>
  <c r="L120" i="3"/>
  <c r="L121" i="3"/>
  <c r="L122" i="3"/>
  <c r="L123" i="3"/>
  <c r="L124" i="3"/>
  <c r="L125" i="3"/>
  <c r="L126" i="3"/>
  <c r="L127" i="3"/>
  <c r="L128" i="3"/>
  <c r="L129" i="3"/>
  <c r="L130" i="3"/>
  <c r="L131" i="3"/>
  <c r="L132" i="3"/>
  <c r="L133" i="3"/>
  <c r="L134" i="3"/>
  <c r="L135" i="3"/>
  <c r="L136" i="3"/>
  <c r="L137" i="3"/>
  <c r="L138" i="3"/>
  <c r="L139" i="3"/>
  <c r="L140" i="3"/>
  <c r="L141" i="3"/>
  <c r="L142" i="3"/>
  <c r="L143" i="3"/>
  <c r="L144" i="3"/>
  <c r="L145" i="3"/>
  <c r="L146" i="3"/>
  <c r="L147" i="3"/>
  <c r="L148" i="3"/>
  <c r="L149" i="3"/>
  <c r="L150" i="3"/>
  <c r="L151" i="3"/>
  <c r="L152" i="3"/>
  <c r="L153" i="3"/>
  <c r="L154" i="3"/>
  <c r="L155" i="3"/>
  <c r="L156" i="3"/>
  <c r="L157" i="3"/>
  <c r="L158" i="3"/>
  <c r="L159" i="3"/>
  <c r="L160" i="3"/>
  <c r="L161" i="3"/>
  <c r="L162" i="3"/>
  <c r="L163" i="3"/>
  <c r="L164" i="3"/>
  <c r="L165" i="3"/>
  <c r="L166" i="3"/>
  <c r="L167" i="3"/>
  <c r="L168" i="3"/>
  <c r="L169" i="3"/>
  <c r="L170" i="3"/>
  <c r="L171" i="3"/>
  <c r="L172" i="3"/>
  <c r="L173" i="3"/>
  <c r="L174" i="3"/>
  <c r="L175" i="3"/>
  <c r="L176" i="3"/>
  <c r="L177" i="3"/>
  <c r="L178" i="3"/>
  <c r="L179" i="3"/>
  <c r="L180" i="3"/>
  <c r="L181" i="3"/>
  <c r="L182" i="3"/>
  <c r="L183" i="3"/>
  <c r="L184" i="3"/>
  <c r="L185" i="3"/>
  <c r="L186" i="3"/>
  <c r="L187" i="3"/>
  <c r="L188" i="3"/>
  <c r="L189" i="3"/>
  <c r="L190" i="3"/>
  <c r="L191" i="3"/>
  <c r="L192" i="3"/>
  <c r="L193" i="3"/>
  <c r="L194" i="3"/>
  <c r="L195" i="3"/>
  <c r="L196" i="3"/>
  <c r="L197" i="3"/>
  <c r="L198" i="3"/>
  <c r="L199" i="3"/>
  <c r="L200" i="3"/>
  <c r="L201" i="3"/>
  <c r="L202" i="3"/>
  <c r="L203" i="3"/>
  <c r="L204" i="3"/>
  <c r="L205" i="3"/>
  <c r="L206" i="3"/>
  <c r="L207" i="3"/>
  <c r="L208" i="3"/>
  <c r="L209" i="3"/>
  <c r="L210" i="3"/>
  <c r="L211" i="3"/>
  <c r="L212" i="3"/>
  <c r="L213" i="3"/>
  <c r="L214" i="3"/>
  <c r="L215" i="3"/>
  <c r="L216" i="3"/>
  <c r="L217" i="3"/>
  <c r="L218" i="3"/>
  <c r="L219" i="3"/>
  <c r="L220" i="3"/>
  <c r="L221" i="3"/>
  <c r="L222" i="3"/>
  <c r="L223" i="3"/>
  <c r="L224" i="3"/>
  <c r="L225" i="3"/>
  <c r="L226" i="3"/>
  <c r="L227" i="3"/>
  <c r="L228" i="3"/>
  <c r="L229" i="3"/>
  <c r="L230" i="3"/>
  <c r="L231" i="3"/>
  <c r="L232" i="3"/>
  <c r="L233" i="3"/>
  <c r="L234" i="3"/>
  <c r="L235" i="3"/>
  <c r="L236" i="3"/>
  <c r="L237" i="3"/>
  <c r="L238" i="3"/>
  <c r="L239" i="3"/>
  <c r="L240" i="3"/>
  <c r="L241" i="3"/>
  <c r="L242" i="3"/>
  <c r="L243" i="3"/>
  <c r="L244" i="3"/>
  <c r="L245" i="3"/>
  <c r="L246" i="3"/>
  <c r="L247" i="3"/>
  <c r="L248" i="3"/>
  <c r="L249" i="3"/>
  <c r="L250" i="3"/>
  <c r="L251" i="3"/>
</calcChain>
</file>

<file path=xl/sharedStrings.xml><?xml version="1.0" encoding="utf-8"?>
<sst xmlns="http://purl.oclc.org/ooxml/spreadsheetml/main" count="5360" uniqueCount="321">
  <si>
    <t>Order ID</t>
  </si>
  <si>
    <t>Date</t>
  </si>
  <si>
    <t>Product</t>
  </si>
  <si>
    <t>Category</t>
  </si>
  <si>
    <t>Price</t>
  </si>
  <si>
    <t>Quantity</t>
  </si>
  <si>
    <t>Total Sales</t>
  </si>
  <si>
    <t>Customer Name</t>
  </si>
  <si>
    <t>Customer Location</t>
  </si>
  <si>
    <t>Payment Method</t>
  </si>
  <si>
    <t>Status</t>
  </si>
  <si>
    <t>ORD0001</t>
  </si>
  <si>
    <t>Running Shoes</t>
  </si>
  <si>
    <t>Footwear</t>
  </si>
  <si>
    <t>Emma Clark</t>
  </si>
  <si>
    <t>New York</t>
  </si>
  <si>
    <t>Debit Card</t>
  </si>
  <si>
    <t>Cancelled</t>
  </si>
  <si>
    <t>ORD0002</t>
  </si>
  <si>
    <t>Headphones</t>
  </si>
  <si>
    <t>Electronics</t>
  </si>
  <si>
    <t>Emily Johnson</t>
  </si>
  <si>
    <t>San Francisco</t>
  </si>
  <si>
    <t>Pending</t>
  </si>
  <si>
    <t>ORD0003</t>
  </si>
  <si>
    <t>John Doe</t>
  </si>
  <si>
    <t>Denver</t>
  </si>
  <si>
    <t>Amazon Pay</t>
  </si>
  <si>
    <t>ORD0004</t>
  </si>
  <si>
    <t>Olivia Wilson</t>
  </si>
  <si>
    <t>Dallas</t>
  </si>
  <si>
    <t>Credit Card</t>
  </si>
  <si>
    <t>ORD0005</t>
  </si>
  <si>
    <t>Smartwatch</t>
  </si>
  <si>
    <t>ORD0006</t>
  </si>
  <si>
    <t>T-Shirt</t>
  </si>
  <si>
    <t>Clothing</t>
  </si>
  <si>
    <t>ORD0007</t>
  </si>
  <si>
    <t>Houston</t>
  </si>
  <si>
    <t>PayPal</t>
  </si>
  <si>
    <t>Completed</t>
  </si>
  <si>
    <t>ORD0008</t>
  </si>
  <si>
    <t>Smartphone</t>
  </si>
  <si>
    <t>Sophia Miller</t>
  </si>
  <si>
    <t>Miami</t>
  </si>
  <si>
    <t>ORD0009</t>
  </si>
  <si>
    <t>Boston</t>
  </si>
  <si>
    <t>ORD0010</t>
  </si>
  <si>
    <t>ORD0011</t>
  </si>
  <si>
    <t>Book</t>
  </si>
  <si>
    <t>Books</t>
  </si>
  <si>
    <t>David Lee</t>
  </si>
  <si>
    <t>ORD0012</t>
  </si>
  <si>
    <t>Jeans</t>
  </si>
  <si>
    <t>Michael Brown</t>
  </si>
  <si>
    <t>ORD0013</t>
  </si>
  <si>
    <t>Laptop</t>
  </si>
  <si>
    <t>Daniel Harris</t>
  </si>
  <si>
    <t>Gift Card</t>
  </si>
  <si>
    <t>ORD0014</t>
  </si>
  <si>
    <t>Washing Machine</t>
  </si>
  <si>
    <t>Home Appliances</t>
  </si>
  <si>
    <t>ORD0015</t>
  </si>
  <si>
    <t>Seattle</t>
  </si>
  <si>
    <t>ORD0016</t>
  </si>
  <si>
    <t>Refrigerator</t>
  </si>
  <si>
    <t>ORD0017</t>
  </si>
  <si>
    <t>ORD0018</t>
  </si>
  <si>
    <t>Los Angeles</t>
  </si>
  <si>
    <t>ORD0019</t>
  </si>
  <si>
    <t>ORD0020</t>
  </si>
  <si>
    <t>ORD0021</t>
  </si>
  <si>
    <t>Chris White</t>
  </si>
  <si>
    <t>ORD0022</t>
  </si>
  <si>
    <t>ORD0023</t>
  </si>
  <si>
    <t>ORD0024</t>
  </si>
  <si>
    <t>ORD0025</t>
  </si>
  <si>
    <t>ORD0026</t>
  </si>
  <si>
    <t>ORD0027</t>
  </si>
  <si>
    <t>ORD0028</t>
  </si>
  <si>
    <t>Jane Smith</t>
  </si>
  <si>
    <t>Chicago</t>
  </si>
  <si>
    <t>ORD0029</t>
  </si>
  <si>
    <t>ORD0030</t>
  </si>
  <si>
    <t>ORD0031</t>
  </si>
  <si>
    <t>ORD0032</t>
  </si>
  <si>
    <t>ORD0033</t>
  </si>
  <si>
    <t>ORD0034</t>
  </si>
  <si>
    <t>ORD0035</t>
  </si>
  <si>
    <t>ORD0036</t>
  </si>
  <si>
    <t>ORD0037</t>
  </si>
  <si>
    <t>ORD0038</t>
  </si>
  <si>
    <t>ORD0039</t>
  </si>
  <si>
    <t>ORD0040</t>
  </si>
  <si>
    <t>ORD0041</t>
  </si>
  <si>
    <t>ORD0042</t>
  </si>
  <si>
    <t>ORD0043</t>
  </si>
  <si>
    <t>ORD0044</t>
  </si>
  <si>
    <t>ORD0045</t>
  </si>
  <si>
    <t>ORD0046</t>
  </si>
  <si>
    <t>ORD0047</t>
  </si>
  <si>
    <t>ORD0048</t>
  </si>
  <si>
    <t>ORD0049</t>
  </si>
  <si>
    <t>ORD0050</t>
  </si>
  <si>
    <t>ORD0051</t>
  </si>
  <si>
    <t>ORD0052</t>
  </si>
  <si>
    <t>ORD0053</t>
  </si>
  <si>
    <t>ORD0054</t>
  </si>
  <si>
    <t>ORD0055</t>
  </si>
  <si>
    <t>ORD0056</t>
  </si>
  <si>
    <t>ORD0057</t>
  </si>
  <si>
    <t>ORD0058</t>
  </si>
  <si>
    <t>ORD0059</t>
  </si>
  <si>
    <t>ORD0060</t>
  </si>
  <si>
    <t>ORD0061</t>
  </si>
  <si>
    <t>ORD0062</t>
  </si>
  <si>
    <t>ORD0063</t>
  </si>
  <si>
    <t>ORD0064</t>
  </si>
  <si>
    <t>ORD0065</t>
  </si>
  <si>
    <t>ORD0066</t>
  </si>
  <si>
    <t>ORD0067</t>
  </si>
  <si>
    <t>ORD0068</t>
  </si>
  <si>
    <t>ORD0069</t>
  </si>
  <si>
    <t>ORD0070</t>
  </si>
  <si>
    <t>ORD0071</t>
  </si>
  <si>
    <t>ORD0072</t>
  </si>
  <si>
    <t>ORD0073</t>
  </si>
  <si>
    <t>ORD0074</t>
  </si>
  <si>
    <t>ORD0075</t>
  </si>
  <si>
    <t>ORD0076</t>
  </si>
  <si>
    <t>ORD0077</t>
  </si>
  <si>
    <t>ORD0078</t>
  </si>
  <si>
    <t>ORD0079</t>
  </si>
  <si>
    <t>ORD0080</t>
  </si>
  <si>
    <t>ORD0081</t>
  </si>
  <si>
    <t>ORD0082</t>
  </si>
  <si>
    <t>ORD0083</t>
  </si>
  <si>
    <t>ORD0084</t>
  </si>
  <si>
    <t>ORD0085</t>
  </si>
  <si>
    <t>ORD0086</t>
  </si>
  <si>
    <t>ORD0087</t>
  </si>
  <si>
    <t>ORD0088</t>
  </si>
  <si>
    <t>ORD0089</t>
  </si>
  <si>
    <t>ORD0090</t>
  </si>
  <si>
    <t>ORD0091</t>
  </si>
  <si>
    <t>ORD0092</t>
  </si>
  <si>
    <t>ORD0093</t>
  </si>
  <si>
    <t>ORD0094</t>
  </si>
  <si>
    <t>ORD0095</t>
  </si>
  <si>
    <t>ORD0096</t>
  </si>
  <si>
    <t>ORD0097</t>
  </si>
  <si>
    <t>ORD0098</t>
  </si>
  <si>
    <t>ORD0099</t>
  </si>
  <si>
    <t>ORD0100</t>
  </si>
  <si>
    <t>ORD0101</t>
  </si>
  <si>
    <t>ORD0102</t>
  </si>
  <si>
    <t>ORD0103</t>
  </si>
  <si>
    <t>ORD0104</t>
  </si>
  <si>
    <t>ORD0105</t>
  </si>
  <si>
    <t>ORD0106</t>
  </si>
  <si>
    <t>ORD0107</t>
  </si>
  <si>
    <t>ORD0108</t>
  </si>
  <si>
    <t>ORD0109</t>
  </si>
  <si>
    <t>ORD0110</t>
  </si>
  <si>
    <t>ORD0111</t>
  </si>
  <si>
    <t>ORD0112</t>
  </si>
  <si>
    <t>ORD0113</t>
  </si>
  <si>
    <t>ORD0114</t>
  </si>
  <si>
    <t>ORD0115</t>
  </si>
  <si>
    <t>ORD0116</t>
  </si>
  <si>
    <t>ORD0117</t>
  </si>
  <si>
    <t>ORD0118</t>
  </si>
  <si>
    <t>ORD0119</t>
  </si>
  <si>
    <t>ORD0120</t>
  </si>
  <si>
    <t>ORD0121</t>
  </si>
  <si>
    <t>ORD0122</t>
  </si>
  <si>
    <t>ORD0123</t>
  </si>
  <si>
    <t>ORD0124</t>
  </si>
  <si>
    <t>ORD0125</t>
  </si>
  <si>
    <t>ORD0126</t>
  </si>
  <si>
    <t>ORD0127</t>
  </si>
  <si>
    <t>ORD0128</t>
  </si>
  <si>
    <t>ORD0129</t>
  </si>
  <si>
    <t>ORD0130</t>
  </si>
  <si>
    <t>ORD0131</t>
  </si>
  <si>
    <t>ORD0132</t>
  </si>
  <si>
    <t>ORD0133</t>
  </si>
  <si>
    <t>ORD0134</t>
  </si>
  <si>
    <t>ORD0135</t>
  </si>
  <si>
    <t>ORD0136</t>
  </si>
  <si>
    <t>ORD0137</t>
  </si>
  <si>
    <t>ORD0138</t>
  </si>
  <si>
    <t>ORD0139</t>
  </si>
  <si>
    <t>ORD0140</t>
  </si>
  <si>
    <t>ORD0141</t>
  </si>
  <si>
    <t>ORD0142</t>
  </si>
  <si>
    <t>ORD0143</t>
  </si>
  <si>
    <t>ORD0144</t>
  </si>
  <si>
    <t>ORD0145</t>
  </si>
  <si>
    <t>ORD0146</t>
  </si>
  <si>
    <t>ORD0147</t>
  </si>
  <si>
    <t>ORD0148</t>
  </si>
  <si>
    <t>ORD0149</t>
  </si>
  <si>
    <t>ORD0150</t>
  </si>
  <si>
    <t>ORD0151</t>
  </si>
  <si>
    <t>ORD0152</t>
  </si>
  <si>
    <t>ORD0153</t>
  </si>
  <si>
    <t>ORD0154</t>
  </si>
  <si>
    <t>ORD0155</t>
  </si>
  <si>
    <t>ORD0156</t>
  </si>
  <si>
    <t>ORD0157</t>
  </si>
  <si>
    <t>ORD0158</t>
  </si>
  <si>
    <t>ORD0159</t>
  </si>
  <si>
    <t>ORD0160</t>
  </si>
  <si>
    <t>ORD0161</t>
  </si>
  <si>
    <t>ORD0162</t>
  </si>
  <si>
    <t>ORD0163</t>
  </si>
  <si>
    <t>ORD0164</t>
  </si>
  <si>
    <t>ORD0165</t>
  </si>
  <si>
    <t>ORD0166</t>
  </si>
  <si>
    <t>ORD0167</t>
  </si>
  <si>
    <t>ORD0168</t>
  </si>
  <si>
    <t>ORD0169</t>
  </si>
  <si>
    <t>ORD0170</t>
  </si>
  <si>
    <t>ORD0171</t>
  </si>
  <si>
    <t>ORD0172</t>
  </si>
  <si>
    <t>ORD0173</t>
  </si>
  <si>
    <t>ORD0174</t>
  </si>
  <si>
    <t>ORD0175</t>
  </si>
  <si>
    <t>ORD0176</t>
  </si>
  <si>
    <t>ORD0177</t>
  </si>
  <si>
    <t>ORD0178</t>
  </si>
  <si>
    <t>ORD0179</t>
  </si>
  <si>
    <t>ORD0180</t>
  </si>
  <si>
    <t>ORD0181</t>
  </si>
  <si>
    <t>ORD0182</t>
  </si>
  <si>
    <t>ORD0183</t>
  </si>
  <si>
    <t>ORD0184</t>
  </si>
  <si>
    <t>ORD0185</t>
  </si>
  <si>
    <t>ORD0186</t>
  </si>
  <si>
    <t>ORD0187</t>
  </si>
  <si>
    <t>ORD0188</t>
  </si>
  <si>
    <t>ORD0189</t>
  </si>
  <si>
    <t>ORD0190</t>
  </si>
  <si>
    <t>ORD0191</t>
  </si>
  <si>
    <t>ORD0192</t>
  </si>
  <si>
    <t>ORD0193</t>
  </si>
  <si>
    <t>ORD0194</t>
  </si>
  <si>
    <t>ORD0195</t>
  </si>
  <si>
    <t>ORD0196</t>
  </si>
  <si>
    <t>ORD0197</t>
  </si>
  <si>
    <t>ORD0198</t>
  </si>
  <si>
    <t>ORD0199</t>
  </si>
  <si>
    <t>ORD0200</t>
  </si>
  <si>
    <t>ORD0201</t>
  </si>
  <si>
    <t>ORD0202</t>
  </si>
  <si>
    <t>ORD0203</t>
  </si>
  <si>
    <t>ORD0204</t>
  </si>
  <si>
    <t>ORD0205</t>
  </si>
  <si>
    <t>ORD0206</t>
  </si>
  <si>
    <t>ORD0207</t>
  </si>
  <si>
    <t>ORD0208</t>
  </si>
  <si>
    <t>ORD0209</t>
  </si>
  <si>
    <t>ORD0210</t>
  </si>
  <si>
    <t>ORD0211</t>
  </si>
  <si>
    <t>ORD0212</t>
  </si>
  <si>
    <t>ORD0213</t>
  </si>
  <si>
    <t>ORD0214</t>
  </si>
  <si>
    <t>ORD0215</t>
  </si>
  <si>
    <t>ORD0216</t>
  </si>
  <si>
    <t>ORD0217</t>
  </si>
  <si>
    <t>ORD0218</t>
  </si>
  <si>
    <t>ORD0219</t>
  </si>
  <si>
    <t>ORD0220</t>
  </si>
  <si>
    <t>ORD0221</t>
  </si>
  <si>
    <t>ORD0222</t>
  </si>
  <si>
    <t>ORD0223</t>
  </si>
  <si>
    <t>ORD0224</t>
  </si>
  <si>
    <t>ORD0225</t>
  </si>
  <si>
    <t>ORD0226</t>
  </si>
  <si>
    <t>ORD0227</t>
  </si>
  <si>
    <t>ORD0228</t>
  </si>
  <si>
    <t>ORD0229</t>
  </si>
  <si>
    <t>ORD0230</t>
  </si>
  <si>
    <t>ORD0231</t>
  </si>
  <si>
    <t>ORD0232</t>
  </si>
  <si>
    <t>ORD0233</t>
  </si>
  <si>
    <t>ORD0234</t>
  </si>
  <si>
    <t>ORD0235</t>
  </si>
  <si>
    <t>ORD0236</t>
  </si>
  <si>
    <t>ORD0237</t>
  </si>
  <si>
    <t>ORD0238</t>
  </si>
  <si>
    <t>ORD0239</t>
  </si>
  <si>
    <t>ORD0240</t>
  </si>
  <si>
    <t>ORD0241</t>
  </si>
  <si>
    <t>ORD0242</t>
  </si>
  <si>
    <t>ORD0243</t>
  </si>
  <si>
    <t>ORD0244</t>
  </si>
  <si>
    <t>ORD0245</t>
  </si>
  <si>
    <t>ORD0246</t>
  </si>
  <si>
    <t>ORD0247</t>
  </si>
  <si>
    <t>ORD0248</t>
  </si>
  <si>
    <t>ORD0249</t>
  </si>
  <si>
    <t>ORD0250</t>
  </si>
  <si>
    <t>Row Labels</t>
  </si>
  <si>
    <t>Grand Total</t>
  </si>
  <si>
    <t>Sum of Total Sales</t>
  </si>
  <si>
    <t>Sales_Check</t>
  </si>
  <si>
    <t>Month</t>
  </si>
  <si>
    <t>Day of Week</t>
  </si>
  <si>
    <t>Order Status Flag</t>
  </si>
  <si>
    <t>Count of Order ID</t>
  </si>
  <si>
    <t>Feb</t>
  </si>
  <si>
    <t>Mar</t>
  </si>
  <si>
    <t>Apr</t>
  </si>
  <si>
    <t>Amazon Sales Performance Analysis</t>
  </si>
  <si>
    <t>TOTAL SALES</t>
  </si>
  <si>
    <t>Total Orders</t>
  </si>
  <si>
    <t>Delivered Orders</t>
  </si>
  <si>
    <t>Cancelled Orders</t>
  </si>
  <si>
    <t>Pending Orders</t>
  </si>
</sst>
</file>

<file path=xl/styles.xml><?xml version="1.0" encoding="utf-8"?>
<styleSheet xmlns="http://purl.oclc.org/ooxml/spreadsheetml/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2"/>
      <color theme="0"/>
      <name val="Calibri"/>
      <family val="2"/>
      <scheme val="minor"/>
    </font>
    <font>
      <b/>
      <sz val="18"/>
      <color theme="0"/>
      <name val="Calibri"/>
      <family val="2"/>
      <scheme val="minor"/>
    </font>
    <font>
      <b/>
      <sz val="24"/>
      <color theme="0"/>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1" tint="0.249977111117893"/>
        <bgColor indexed="64"/>
      </patternFill>
    </fill>
    <fill>
      <patternFill patternType="solid">
        <fgColor theme="1" tint="0.14999847407452621"/>
        <bgColor indexed="64"/>
      </patternFill>
    </fill>
  </fills>
  <borders count="16">
    <border>
      <start/>
      <end/>
      <top/>
      <bottom/>
      <diagonal/>
    </border>
    <border>
      <start/>
      <end/>
      <top/>
      <bottom style="thick">
        <color theme="4"/>
      </bottom>
      <diagonal/>
    </border>
    <border>
      <start/>
      <end/>
      <top/>
      <bottom style="thick">
        <color theme="4" tint="0.499984740745262"/>
      </bottom>
      <diagonal/>
    </border>
    <border>
      <start/>
      <end/>
      <top/>
      <bottom style="medium">
        <color theme="4" tint="0.39997558519241921"/>
      </bottom>
      <diagonal/>
    </border>
    <border>
      <start style="thin">
        <color rgb="FF7F7F7F"/>
      </start>
      <end style="thin">
        <color rgb="FF7F7F7F"/>
      </end>
      <top style="thin">
        <color rgb="FF7F7F7F"/>
      </top>
      <bottom style="thin">
        <color rgb="FF7F7F7F"/>
      </bottom>
      <diagonal/>
    </border>
    <border>
      <start style="thin">
        <color rgb="FF3F3F3F"/>
      </start>
      <end style="thin">
        <color rgb="FF3F3F3F"/>
      </end>
      <top style="thin">
        <color rgb="FF3F3F3F"/>
      </top>
      <bottom style="thin">
        <color rgb="FF3F3F3F"/>
      </bottom>
      <diagonal/>
    </border>
    <border>
      <start/>
      <end/>
      <top/>
      <bottom style="double">
        <color rgb="FFFF8001"/>
      </bottom>
      <diagonal/>
    </border>
    <border>
      <start style="double">
        <color rgb="FF3F3F3F"/>
      </start>
      <end style="double">
        <color rgb="FF3F3F3F"/>
      </end>
      <top style="double">
        <color rgb="FF3F3F3F"/>
      </top>
      <bottom style="double">
        <color rgb="FF3F3F3F"/>
      </bottom>
      <diagonal/>
    </border>
    <border>
      <start style="thin">
        <color rgb="FFB2B2B2"/>
      </start>
      <end style="thin">
        <color rgb="FFB2B2B2"/>
      </end>
      <top style="thin">
        <color rgb="FFB2B2B2"/>
      </top>
      <bottom style="thin">
        <color rgb="FFB2B2B2"/>
      </bottom>
      <diagonal/>
    </border>
    <border>
      <start/>
      <end/>
      <top style="thin">
        <color theme="4"/>
      </top>
      <bottom style="double">
        <color theme="4"/>
      </bottom>
      <diagonal/>
    </border>
    <border>
      <start style="thin">
        <color indexed="64"/>
      </start>
      <end/>
      <top style="thin">
        <color indexed="64"/>
      </top>
      <bottom/>
      <diagonal/>
    </border>
    <border>
      <start/>
      <end style="thin">
        <color indexed="64"/>
      </end>
      <top style="thin">
        <color indexed="64"/>
      </top>
      <bottom/>
      <diagonal/>
    </border>
    <border>
      <start style="thin">
        <color indexed="64"/>
      </start>
      <end/>
      <top/>
      <bottom style="thin">
        <color indexed="64"/>
      </bottom>
      <diagonal/>
    </border>
    <border>
      <start/>
      <end style="thin">
        <color indexed="64"/>
      </end>
      <top/>
      <bottom style="thin">
        <color indexed="64"/>
      </bottom>
      <diagonal/>
    </border>
    <border>
      <start style="thin">
        <color indexed="64"/>
      </start>
      <end/>
      <top style="thin">
        <color indexed="64"/>
      </top>
      <bottom style="thin">
        <color indexed="64"/>
      </bottom>
      <diagonal/>
    </border>
    <border>
      <start/>
      <end style="thin">
        <color indexed="64"/>
      </end>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4">
    <xf numFmtId="0" fontId="0" fillId="0" borderId="0" xfId="0"/>
    <xf numFmtId="14" fontId="0" fillId="0" borderId="0" xfId="0" applyNumberFormat="1"/>
    <xf numFmtId="0" fontId="0" fillId="0" borderId="0" xfId="0" pivotButton="1"/>
    <xf numFmtId="0" fontId="0" fillId="0" borderId="0" xfId="0" applyAlignment="1">
      <alignment horizontal="left"/>
    </xf>
    <xf numFmtId="14" fontId="0" fillId="0" borderId="0" xfId="0" applyNumberFormat="1" applyAlignment="1">
      <alignment horizontal="left"/>
    </xf>
    <xf numFmtId="0" fontId="0" fillId="0" borderId="0" xfId="0" applyNumberFormat="1"/>
    <xf numFmtId="0" fontId="18" fillId="33" borderId="14" xfId="0" applyFont="1" applyFill="1" applyBorder="1" applyAlignment="1">
      <alignment horizontal="center"/>
    </xf>
    <xf numFmtId="0" fontId="18" fillId="33" borderId="15" xfId="0" applyFont="1" applyFill="1" applyBorder="1" applyAlignment="1">
      <alignment horizontal="center"/>
    </xf>
    <xf numFmtId="0" fontId="19" fillId="33" borderId="10" xfId="0" applyFont="1" applyFill="1" applyBorder="1" applyAlignment="1">
      <alignment horizontal="center"/>
    </xf>
    <xf numFmtId="0" fontId="19" fillId="33" borderId="11" xfId="0" applyFont="1" applyFill="1" applyBorder="1" applyAlignment="1">
      <alignment horizontal="center"/>
    </xf>
    <xf numFmtId="0" fontId="19" fillId="33" borderId="12" xfId="0" applyFont="1" applyFill="1" applyBorder="1" applyAlignment="1">
      <alignment horizontal="center"/>
    </xf>
    <xf numFmtId="0" fontId="19" fillId="33" borderId="13" xfId="0" applyFont="1" applyFill="1" applyBorder="1" applyAlignment="1">
      <alignment horizontal="center"/>
    </xf>
    <xf numFmtId="0" fontId="20" fillId="33" borderId="0" xfId="0" applyFont="1" applyFill="1" applyAlignment="1">
      <alignment horizontal="center"/>
    </xf>
    <xf numFmtId="0" fontId="0" fillId="34" borderId="0" xfId="0"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4">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purl.oclc.org/ooxml/officeDocument/relationships/worksheet" Target="worksheets/sheet8.xml"/><Relationship Id="rId13" Type="http://schemas.microsoft.com/office/2007/relationships/slicerCache" Target="slicerCaches/slicerCache1.xml"/><Relationship Id="rId18" Type="http://purl.oclc.org/ooxml/officeDocument/relationships/theme" Target="theme/theme1.xml"/><Relationship Id="rId3" Type="http://purl.oclc.org/ooxml/officeDocument/relationships/worksheet" Target="worksheets/sheet3.xml"/><Relationship Id="rId21" Type="http://purl.oclc.org/ooxml/officeDocument/relationships/calcChain" Target="calcChain.xml"/><Relationship Id="rId7" Type="http://purl.oclc.org/ooxml/officeDocument/relationships/worksheet" Target="worksheets/sheet7.xml"/><Relationship Id="rId12" Type="http://purl.oclc.org/ooxml/officeDocument/relationships/pivotCacheDefinition" Target="pivotCache/pivotCacheDefinition1.xml"/><Relationship Id="rId17" Type="http://schemas.microsoft.com/office/2007/relationships/slicerCache" Target="slicerCaches/slicerCache5.xml"/><Relationship Id="rId2" Type="http://purl.oclc.org/ooxml/officeDocument/relationships/worksheet" Target="worksheets/sheet2.xml"/><Relationship Id="rId16" Type="http://schemas.microsoft.com/office/2007/relationships/slicerCache" Target="slicerCaches/slicerCache4.xml"/><Relationship Id="rId20" Type="http://purl.oclc.org/ooxml/officeDocument/relationships/sharedStrings" Target="sharedStrings.xml"/><Relationship Id="rId1" Type="http://purl.oclc.org/ooxml/officeDocument/relationships/worksheet" Target="worksheets/sheet1.xml"/><Relationship Id="rId6" Type="http://purl.oclc.org/ooxml/officeDocument/relationships/worksheet" Target="worksheets/sheet6.xml"/><Relationship Id="rId11" Type="http://purl.oclc.org/ooxml/officeDocument/relationships/worksheet" Target="worksheets/sheet11.xml"/><Relationship Id="rId5" Type="http://purl.oclc.org/ooxml/officeDocument/relationships/worksheet" Target="worksheets/sheet5.xml"/><Relationship Id="rId15" Type="http://schemas.microsoft.com/office/2007/relationships/slicerCache" Target="slicerCaches/slicerCache3.xml"/><Relationship Id="rId10" Type="http://purl.oclc.org/ooxml/officeDocument/relationships/worksheet" Target="worksheets/sheet10.xml"/><Relationship Id="rId19" Type="http://purl.oclc.org/ooxml/officeDocument/relationships/styles" Target="styles.xml"/><Relationship Id="rId4" Type="http://purl.oclc.org/ooxml/officeDocument/relationships/worksheet" Target="worksheets/sheet4.xml"/><Relationship Id="rId9" Type="http://purl.oclc.org/ooxml/officeDocument/relationships/worksheet" Target="worksheets/sheet9.xml"/><Relationship Id="rId14"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purl.oclc.org/ooxml/drawingml/chart" xmlns:a="http://purl.oclc.org/ooxml/drawingml/main" xmlns:r="http://purl.oclc.org/ooxml/officeDocument/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[Amazon_Sales_Performance_Analysis.xlsx]PVT_Category!Total sales by Category</c:name>
    <c:fmtId val="0"/>
  </c:pivotSource>
  <c:chart>
    <c:title>
      <c:tx>
        <c:rich>
          <a:bodyPr rot="0" spcFirstLastPara="1" vertOverflow="ellipsis" vert="horz" wrap="square" anchor="ctr" anchorCtr="1"/>
          <a:lstStyle/>
          <a:p>
            <a:pPr>
              <a:defRPr sz="1600" b="1" i="0" u="none" strike="noStrike" kern="1200" spc="100" baseline="0%">
                <a:solidFill>
                  <a:schemeClr val="lt1">
                    <a:lumMod val="95%"/>
                  </a:schemeClr>
                </a:solidFill>
                <a:effectLst>
                  <a:outerShdw blurRad="50800" dist="38100" dir="5400000" algn="t" rotWithShape="0">
                    <a:prstClr val="black">
                      <a:alpha val="40%"/>
                    </a:prstClr>
                  </a:outerShdw>
                </a:effectLst>
                <a:latin typeface="+mn-lt"/>
                <a:ea typeface="+mn-ea"/>
                <a:cs typeface="+mn-cs"/>
              </a:defRPr>
            </a:pPr>
            <a:r>
              <a:rPr lang="en-US"/>
              <a:t>Total Sales</a:t>
            </a:r>
            <a:r>
              <a:rPr lang="en-US" baseline="0%"/>
              <a:t> by Category</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
                </a:schemeClr>
              </a:solidFill>
              <a:effectLst>
                <a:outerShdw blurRad="50800" dist="38100" dir="5400000" algn="t" rotWithShape="0">
                  <a:prstClr val="black">
                    <a:alpha val="40%"/>
                  </a:prstClr>
                </a:outerShdw>
              </a:effectLst>
              <a:latin typeface="+mn-lt"/>
              <a:ea typeface="+mn-ea"/>
              <a:cs typeface="+mn-cs"/>
            </a:defRPr>
          </a:pPr>
          <a:endParaRPr lang="en-US"/>
        </a:p>
      </c:txPr>
    </c:title>
    <c:autoTitleDeleted val="0"/>
    <c:pivotFmts>
      <c:pivotFmt>
        <c:idx val="0"/>
        <c:spPr>
          <a:gradFill rotWithShape="1">
            <a:gsLst>
              <a:gs pos="0%">
                <a:schemeClr val="accent1">
                  <a:satMod val="103%"/>
                  <a:lumMod val="102%"/>
                  <a:tint val="94%"/>
                </a:schemeClr>
              </a:gs>
              <a:gs pos="50%">
                <a:schemeClr val="accent1">
                  <a:satMod val="110%"/>
                  <a:lumMod val="100%"/>
                  <a:shade val="100%"/>
                </a:schemeClr>
              </a:gs>
              <a:gs pos="100%">
                <a:schemeClr val="accent1">
                  <a:lumMod val="99%"/>
                  <a:satMod val="120%"/>
                  <a:shade val="78%"/>
                </a:schemeClr>
              </a:gs>
            </a:gsLst>
            <a:lin ang="5400000" scaled="0"/>
          </a:gradFill>
          <a:ln>
            <a:noFill/>
          </a:ln>
          <a:effectLst>
            <a:outerShdw blurRad="57150" dist="19050" dir="5400000" algn="ctr" rotWithShape="0">
              <a:srgbClr val="000000">
                <a:alpha val="63%"/>
              </a:srgbClr>
            </a:outerShdw>
          </a:effectLst>
        </c:spPr>
        <c:marker>
          <c:symbol val="circle"/>
          <c:size val="6"/>
          <c:spPr>
            <a:gradFill rotWithShape="1">
              <a:gsLst>
                <a:gs pos="0%">
                  <a:schemeClr val="accent1">
                    <a:satMod val="103%"/>
                    <a:lumMod val="102%"/>
                    <a:tint val="94%"/>
                  </a:schemeClr>
                </a:gs>
                <a:gs pos="50%">
                  <a:schemeClr val="accent1">
                    <a:satMod val="110%"/>
                    <a:lumMod val="100%"/>
                    <a:shade val="100%"/>
                  </a:schemeClr>
                </a:gs>
                <a:gs pos="100%">
                  <a:schemeClr val="accent1">
                    <a:lumMod val="99%"/>
                    <a:satMod val="120%"/>
                    <a:shade val="78%"/>
                  </a:schemeClr>
                </a:gs>
              </a:gsLst>
              <a:lin ang="5400000" scaled="0"/>
            </a:gradFill>
            <a:ln w="9525">
              <a:solidFill>
                <a:schemeClr val="accent1"/>
              </a:solidFill>
              <a:round/>
            </a:ln>
            <a:effectLst>
              <a:outerShdw blurRad="57150" dist="19050" dir="5400000" algn="ctr" rotWithShape="0">
                <a:srgbClr val="000000">
                  <a:alpha val="63%"/>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
                  <a:lumMod val="102%"/>
                  <a:tint val="94%"/>
                </a:schemeClr>
              </a:gs>
              <a:gs pos="50%">
                <a:schemeClr val="accent1">
                  <a:satMod val="110%"/>
                  <a:lumMod val="100%"/>
                  <a:shade val="100%"/>
                </a:schemeClr>
              </a:gs>
              <a:gs pos="100%">
                <a:schemeClr val="accent1">
                  <a:lumMod val="99%"/>
                  <a:satMod val="120%"/>
                  <a:shade val="78%"/>
                </a:schemeClr>
              </a:gs>
            </a:gsLst>
            <a:lin ang="5400000" scaled="0"/>
          </a:gradFill>
          <a:ln>
            <a:noFill/>
          </a:ln>
          <a:effectLst>
            <a:outerShdw blurRad="57150" dist="19050" dir="5400000" algn="ctr" rotWithShape="0">
              <a:srgbClr val="000000">
                <a:alpha val="63%"/>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
                  <a:lumMod val="102%"/>
                  <a:tint val="94%"/>
                </a:schemeClr>
              </a:gs>
              <a:gs pos="50%">
                <a:schemeClr val="accent1">
                  <a:satMod val="110%"/>
                  <a:lumMod val="100%"/>
                  <a:shade val="100%"/>
                </a:schemeClr>
              </a:gs>
              <a:gs pos="100%">
                <a:schemeClr val="accent1">
                  <a:lumMod val="99%"/>
                  <a:satMod val="120%"/>
                  <a:shade val="78%"/>
                </a:schemeClr>
              </a:gs>
            </a:gsLst>
            <a:lin ang="5400000" scaled="0"/>
          </a:gradFill>
          <a:ln>
            <a:noFill/>
          </a:ln>
          <a:effectLst>
            <a:outerShdw blurRad="57150" dist="19050" dir="5400000" algn="ctr" rotWithShape="0">
              <a:srgbClr val="000000">
                <a:alpha val="63%"/>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
                  <a:lumMod val="102%"/>
                  <a:tint val="94%"/>
                </a:schemeClr>
              </a:gs>
              <a:gs pos="50%">
                <a:schemeClr val="accent1">
                  <a:satMod val="110%"/>
                  <a:lumMod val="100%"/>
                  <a:shade val="100%"/>
                </a:schemeClr>
              </a:gs>
              <a:gs pos="100%">
                <a:schemeClr val="accent1">
                  <a:lumMod val="99%"/>
                  <a:satMod val="120%"/>
                  <a:shade val="78%"/>
                </a:schemeClr>
              </a:gs>
            </a:gsLst>
            <a:lin ang="5400000" scaled="0"/>
          </a:gradFill>
          <a:ln>
            <a:noFill/>
          </a:ln>
          <a:effectLst>
            <a:outerShdw blurRad="57150" dist="19050" dir="5400000" algn="ctr" rotWithShape="0">
              <a:srgbClr val="000000">
                <a:alpha val="63%"/>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
                  <a:lumMod val="102%"/>
                  <a:tint val="94%"/>
                </a:schemeClr>
              </a:gs>
              <a:gs pos="50%">
                <a:schemeClr val="accent1">
                  <a:satMod val="110%"/>
                  <a:lumMod val="100%"/>
                  <a:shade val="100%"/>
                </a:schemeClr>
              </a:gs>
              <a:gs pos="100%">
                <a:schemeClr val="accent1">
                  <a:lumMod val="99%"/>
                  <a:satMod val="120%"/>
                  <a:shade val="78%"/>
                </a:schemeClr>
              </a:gs>
            </a:gsLst>
            <a:lin ang="5400000" scaled="0"/>
          </a:gradFill>
          <a:ln>
            <a:noFill/>
          </a:ln>
          <a:effectLst>
            <a:outerShdw blurRad="57150" dist="19050" dir="5400000" algn="ctr" rotWithShape="0">
              <a:srgbClr val="000000">
                <a:alpha val="63%"/>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PVT_Category!$B$3</c:f>
              <c:strCache>
                <c:ptCount val="1"/>
                <c:pt idx="0">
                  <c:v>Total</c:v>
                </c:pt>
              </c:strCache>
            </c:strRef>
          </c:tx>
          <c:spPr>
            <a:gradFill rotWithShape="1">
              <a:gsLst>
                <a:gs pos="0%">
                  <a:schemeClr val="accent1">
                    <a:satMod val="103%"/>
                    <a:lumMod val="102%"/>
                    <a:tint val="94%"/>
                  </a:schemeClr>
                </a:gs>
                <a:gs pos="50%">
                  <a:schemeClr val="accent1">
                    <a:satMod val="110%"/>
                    <a:lumMod val="100%"/>
                    <a:shade val="100%"/>
                  </a:schemeClr>
                </a:gs>
                <a:gs pos="100%">
                  <a:schemeClr val="accent1">
                    <a:lumMod val="99%"/>
                    <a:satMod val="120%"/>
                    <a:shade val="78%"/>
                  </a:schemeClr>
                </a:gs>
              </a:gsLst>
              <a:lin ang="5400000" scaled="0"/>
            </a:gradFill>
            <a:ln>
              <a:noFill/>
            </a:ln>
            <a:effectLst>
              <a:outerShdw blurRad="57150" dist="19050" dir="5400000" algn="ctr" rotWithShape="0">
                <a:srgbClr val="000000">
                  <a:alpha val="63%"/>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
                          <a:alpha val="54%"/>
                        </a:schemeClr>
                      </a:solidFill>
                    </a:ln>
                    <a:effectLst/>
                  </c:spPr>
                </c15:leaderLines>
              </c:ext>
            </c:extLst>
          </c:dLbls>
          <c:cat>
            <c:strRef>
              <c:f>PVT_Category!$A$4:$A$9</c:f>
              <c:strCache>
                <c:ptCount val="5"/>
                <c:pt idx="0">
                  <c:v>Electronics</c:v>
                </c:pt>
                <c:pt idx="1">
                  <c:v>Home Appliances</c:v>
                </c:pt>
                <c:pt idx="2">
                  <c:v>Footwear</c:v>
                </c:pt>
                <c:pt idx="3">
                  <c:v>Clothing</c:v>
                </c:pt>
                <c:pt idx="4">
                  <c:v>Books</c:v>
                </c:pt>
              </c:strCache>
            </c:strRef>
          </c:cat>
          <c:val>
            <c:numRef>
              <c:f>PVT_Category!$B$4:$B$9</c:f>
              <c:numCache>
                <c:formatCode>General</c:formatCode>
                <c:ptCount val="5"/>
                <c:pt idx="0">
                  <c:v>129950</c:v>
                </c:pt>
                <c:pt idx="1">
                  <c:v>105000</c:v>
                </c:pt>
                <c:pt idx="2">
                  <c:v>4320</c:v>
                </c:pt>
                <c:pt idx="3">
                  <c:v>3540</c:v>
                </c:pt>
                <c:pt idx="4">
                  <c:v>1035</c:v>
                </c:pt>
              </c:numCache>
            </c:numRef>
          </c:val>
          <c:extLst>
            <c:ext xmlns:c16="http://schemas.microsoft.com/office/drawing/2014/chart" uri="{C3380CC4-5D6E-409C-BE32-E72D297353CC}">
              <c16:uniqueId val="{00000000-6A56-4C5B-83BB-542287701C71}"/>
            </c:ext>
          </c:extLst>
        </c:ser>
        <c:dLbls>
          <c:dLblPos val="outEnd"/>
          <c:showLegendKey val="0"/>
          <c:showVal val="1"/>
          <c:showCatName val="0"/>
          <c:showSerName val="0"/>
          <c:showPercent val="0"/>
          <c:showBubbleSize val="0"/>
        </c:dLbls>
        <c:gapWidth val="100"/>
        <c:overlap val="-24"/>
        <c:axId val="928350335"/>
        <c:axId val="928352831"/>
      </c:barChart>
      <c:catAx>
        <c:axId val="928350335"/>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
                      </a:schemeClr>
                    </a:solidFill>
                    <a:latin typeface="+mn-lt"/>
                    <a:ea typeface="+mn-ea"/>
                    <a:cs typeface="+mn-cs"/>
                  </a:defRPr>
                </a:pPr>
                <a:r>
                  <a:rPr lang="en-IN"/>
                  <a:t>Category</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
                <a:alpha val="54%"/>
              </a:schemeClr>
            </a:solidFill>
            <a:round/>
          </a:ln>
          <a:effectLst/>
        </c:spPr>
        <c:txPr>
          <a:bodyPr rot="-60000000" spcFirstLastPara="1" vertOverflow="ellipsis" vert="horz" wrap="square" anchor="ctr" anchorCtr="1"/>
          <a:lstStyle/>
          <a:p>
            <a:pPr>
              <a:defRPr sz="900" b="0" i="0" u="none" strike="noStrike" kern="1200" baseline="0%">
                <a:solidFill>
                  <a:schemeClr val="lt1">
                    <a:lumMod val="85%"/>
                  </a:schemeClr>
                </a:solidFill>
                <a:latin typeface="+mn-lt"/>
                <a:ea typeface="+mn-ea"/>
                <a:cs typeface="+mn-cs"/>
              </a:defRPr>
            </a:pPr>
            <a:endParaRPr lang="en-US"/>
          </a:p>
        </c:txPr>
        <c:crossAx val="928352831"/>
        <c:crosses val="autoZero"/>
        <c:auto val="1"/>
        <c:lblAlgn val="ctr"/>
        <c:lblOffset val="100"/>
        <c:noMultiLvlLbl val="0"/>
      </c:catAx>
      <c:valAx>
        <c:axId val="928352831"/>
        <c:scaling>
          <c:orientation val="minMax"/>
        </c:scaling>
        <c:delete val="0"/>
        <c:axPos val="l"/>
        <c:majorGridlines>
          <c:spPr>
            <a:ln w="9525" cap="flat" cmpd="sng" algn="ctr">
              <a:solidFill>
                <a:schemeClr val="lt1">
                  <a:lumMod val="95%"/>
                  <a:alpha val="1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
                      </a:schemeClr>
                    </a:solidFill>
                    <a:latin typeface="+mn-lt"/>
                    <a:ea typeface="+mn-ea"/>
                    <a:cs typeface="+mn-cs"/>
                  </a:defRPr>
                </a:pPr>
                <a:r>
                  <a:rPr lang="en-IN"/>
                  <a:t> Sales</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
                  </a:schemeClr>
                </a:solidFill>
                <a:latin typeface="+mn-lt"/>
                <a:ea typeface="+mn-ea"/>
                <a:cs typeface="+mn-cs"/>
              </a:defRPr>
            </a:pPr>
            <a:endParaRPr lang="en-US"/>
          </a:p>
        </c:txPr>
        <c:crossAx val="92835033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
            <a:lumOff val="35%"/>
          </a:schemeClr>
        </a:gs>
        <a:gs pos="100%">
          <a:schemeClr val="dk1">
            <a:lumMod val="85%"/>
            <a:lumOff val="15%"/>
          </a:schemeClr>
        </a:gs>
      </a:gsLst>
      <a:path path="circle">
        <a:fillToRect l="50%" t="50%" r="50%" b="5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purl.oclc.org/ooxml/drawingml/chart" xmlns:a="http://purl.oclc.org/ooxml/drawingml/main" xmlns:r="http://purl.oclc.org/ooxml/officeDocument/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[Amazon_Sales_Performance_Analysis.xlsx]PVT_Product!PivotTable3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
                  <a:lumOff val="35%"/>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PVT_Product!$B$3</c:f>
              <c:strCache>
                <c:ptCount val="1"/>
                <c:pt idx="0">
                  <c:v>Total</c:v>
                </c:pt>
              </c:strCache>
            </c:strRef>
          </c:tx>
          <c:spPr>
            <a:solidFill>
              <a:schemeClr val="accent1"/>
            </a:solidFill>
            <a:ln>
              <a:noFill/>
            </a:ln>
            <a:effectLst/>
          </c:spPr>
          <c:invertIfNegative val="0"/>
          <c:cat>
            <c:strRef>
              <c:f>PVT_Product!$A$4:$A$14</c:f>
              <c:strCache>
                <c:ptCount val="10"/>
                <c:pt idx="0">
                  <c:v>Refrigerator</c:v>
                </c:pt>
                <c:pt idx="1">
                  <c:v>Laptop</c:v>
                </c:pt>
                <c:pt idx="2">
                  <c:v>Smartphone</c:v>
                </c:pt>
                <c:pt idx="3">
                  <c:v>Washing Machine</c:v>
                </c:pt>
                <c:pt idx="4">
                  <c:v>Smartwatch</c:v>
                </c:pt>
                <c:pt idx="5">
                  <c:v>Headphones</c:v>
                </c:pt>
                <c:pt idx="6">
                  <c:v>Running Shoes</c:v>
                </c:pt>
                <c:pt idx="7">
                  <c:v>Jeans</c:v>
                </c:pt>
                <c:pt idx="8">
                  <c:v>T-Shirt</c:v>
                </c:pt>
                <c:pt idx="9">
                  <c:v>Book</c:v>
                </c:pt>
              </c:strCache>
            </c:strRef>
          </c:cat>
          <c:val>
            <c:numRef>
              <c:f>PVT_Product!$B$4:$B$14</c:f>
              <c:numCache>
                <c:formatCode>General</c:formatCode>
                <c:ptCount val="10"/>
                <c:pt idx="0">
                  <c:v>78000</c:v>
                </c:pt>
                <c:pt idx="1">
                  <c:v>58400</c:v>
                </c:pt>
                <c:pt idx="2">
                  <c:v>48500</c:v>
                </c:pt>
                <c:pt idx="3">
                  <c:v>27000</c:v>
                </c:pt>
                <c:pt idx="4">
                  <c:v>15750</c:v>
                </c:pt>
                <c:pt idx="5">
                  <c:v>7300</c:v>
                </c:pt>
                <c:pt idx="6">
                  <c:v>4320</c:v>
                </c:pt>
                <c:pt idx="7">
                  <c:v>2480</c:v>
                </c:pt>
                <c:pt idx="8">
                  <c:v>1060</c:v>
                </c:pt>
                <c:pt idx="9">
                  <c:v>1035</c:v>
                </c:pt>
              </c:numCache>
            </c:numRef>
          </c:val>
          <c:extLst>
            <c:ext xmlns:c16="http://schemas.microsoft.com/office/drawing/2014/chart" uri="{C3380CC4-5D6E-409C-BE32-E72D297353CC}">
              <c16:uniqueId val="{00000000-6C41-45D1-B4CB-A139D41136B5}"/>
            </c:ext>
          </c:extLst>
        </c:ser>
        <c:dLbls>
          <c:showLegendKey val="0"/>
          <c:showVal val="0"/>
          <c:showCatName val="0"/>
          <c:showSerName val="0"/>
          <c:showPercent val="0"/>
          <c:showBubbleSize val="0"/>
        </c:dLbls>
        <c:gapWidth val="219"/>
        <c:overlap val="-27"/>
        <c:axId val="1069573407"/>
        <c:axId val="935409151"/>
      </c:barChart>
      <c:catAx>
        <c:axId val="1069573407"/>
        <c:scaling>
          <c:orientation val="minMax"/>
        </c:scaling>
        <c:delete val="0"/>
        <c:axPos val="b"/>
        <c:numFmt formatCode="General" sourceLinked="1"/>
        <c:majorTickMark val="none"/>
        <c:minorTickMark val="none"/>
        <c:tickLblPos val="nextTo"/>
        <c:spPr>
          <a:noFill/>
          <a:ln w="9525" cap="flat" cmpd="sng" algn="ctr">
            <a:solidFill>
              <a:schemeClr val="tx1">
                <a:lumMod val="15%"/>
                <a:lumOff val="85%"/>
              </a:schemeClr>
            </a:solidFill>
            <a:round/>
          </a:ln>
          <a:effectLst/>
        </c:spPr>
        <c:txPr>
          <a:bodyPr rot="-60000000" spcFirstLastPara="1" vertOverflow="ellipsis" vert="horz" wrap="square" anchor="ctr" anchorCtr="1"/>
          <a:lstStyle/>
          <a:p>
            <a:pPr>
              <a:defRPr sz="900" b="0" i="0" u="none" strike="noStrike" kern="1200" baseline="0%">
                <a:solidFill>
                  <a:schemeClr val="tx1">
                    <a:lumMod val="65%"/>
                    <a:lumOff val="35%"/>
                  </a:schemeClr>
                </a:solidFill>
                <a:latin typeface="+mn-lt"/>
                <a:ea typeface="+mn-ea"/>
                <a:cs typeface="+mn-cs"/>
              </a:defRPr>
            </a:pPr>
            <a:endParaRPr lang="en-US"/>
          </a:p>
        </c:txPr>
        <c:crossAx val="935409151"/>
        <c:crosses val="autoZero"/>
        <c:auto val="1"/>
        <c:lblAlgn val="ctr"/>
        <c:lblOffset val="100"/>
        <c:noMultiLvlLbl val="0"/>
      </c:catAx>
      <c:valAx>
        <c:axId val="935409151"/>
        <c:scaling>
          <c:orientation val="minMax"/>
        </c:scaling>
        <c:delete val="0"/>
        <c:axPos val="l"/>
        <c:majorGridlines>
          <c:spPr>
            <a:ln w="9525" cap="flat" cmpd="sng" algn="ctr">
              <a:solidFill>
                <a:schemeClr val="tx1">
                  <a:lumMod val="15%"/>
                  <a:lumOff val="85%"/>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
                    <a:lumOff val="35%"/>
                  </a:schemeClr>
                </a:solidFill>
                <a:latin typeface="+mn-lt"/>
                <a:ea typeface="+mn-ea"/>
                <a:cs typeface="+mn-cs"/>
              </a:defRPr>
            </a:pPr>
            <a:endParaRPr lang="en-US"/>
          </a:p>
        </c:txPr>
        <c:crossAx val="10695734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
                  <a:lumOff val="35%"/>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
          <a:lumOff val="85%"/>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purl.oclc.org/ooxml/drawingml/chart" xmlns:a="http://purl.oclc.org/ooxml/drawingml/main" xmlns:r="http://purl.oclc.org/ooxml/officeDocument/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[Amazon_Sales_Performance_Analysis.xlsx]PVT_Location!PivotTable4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
                  <a:lumOff val="35%"/>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PVT_Location!$B$3</c:f>
              <c:strCache>
                <c:ptCount val="1"/>
                <c:pt idx="0">
                  <c:v>Total</c:v>
                </c:pt>
              </c:strCache>
            </c:strRef>
          </c:tx>
          <c:spPr>
            <a:solidFill>
              <a:schemeClr val="accent1"/>
            </a:solidFill>
            <a:ln>
              <a:noFill/>
            </a:ln>
            <a:effectLst/>
          </c:spPr>
          <c:invertIfNegative val="0"/>
          <c:cat>
            <c:strRef>
              <c:f>PVT_Location!$A$4:$A$14</c:f>
              <c:strCache>
                <c:ptCount val="10"/>
                <c:pt idx="0">
                  <c:v>Miami</c:v>
                </c:pt>
                <c:pt idx="1">
                  <c:v>Denver</c:v>
                </c:pt>
                <c:pt idx="2">
                  <c:v>Houston</c:v>
                </c:pt>
                <c:pt idx="3">
                  <c:v>Dallas</c:v>
                </c:pt>
                <c:pt idx="4">
                  <c:v>Seattle</c:v>
                </c:pt>
                <c:pt idx="5">
                  <c:v>Boston</c:v>
                </c:pt>
                <c:pt idx="6">
                  <c:v>Chicago</c:v>
                </c:pt>
                <c:pt idx="7">
                  <c:v>New York</c:v>
                </c:pt>
                <c:pt idx="8">
                  <c:v>Los Angeles</c:v>
                </c:pt>
                <c:pt idx="9">
                  <c:v>San Francisco</c:v>
                </c:pt>
              </c:strCache>
            </c:strRef>
          </c:cat>
          <c:val>
            <c:numRef>
              <c:f>PVT_Location!$B$4:$B$14</c:f>
              <c:numCache>
                <c:formatCode>General</c:formatCode>
                <c:ptCount val="10"/>
                <c:pt idx="0">
                  <c:v>31700</c:v>
                </c:pt>
                <c:pt idx="1">
                  <c:v>29785</c:v>
                </c:pt>
                <c:pt idx="2">
                  <c:v>28390</c:v>
                </c:pt>
                <c:pt idx="3">
                  <c:v>27145</c:v>
                </c:pt>
                <c:pt idx="4">
                  <c:v>26890</c:v>
                </c:pt>
                <c:pt idx="5">
                  <c:v>26170</c:v>
                </c:pt>
                <c:pt idx="6">
                  <c:v>20810</c:v>
                </c:pt>
                <c:pt idx="7">
                  <c:v>18940</c:v>
                </c:pt>
                <c:pt idx="8">
                  <c:v>17820</c:v>
                </c:pt>
                <c:pt idx="9">
                  <c:v>16195</c:v>
                </c:pt>
              </c:numCache>
            </c:numRef>
          </c:val>
          <c:extLst>
            <c:ext xmlns:c16="http://schemas.microsoft.com/office/drawing/2014/chart" uri="{C3380CC4-5D6E-409C-BE32-E72D297353CC}">
              <c16:uniqueId val="{00000000-DFD5-4604-A061-2D7FCDC4A89B}"/>
            </c:ext>
          </c:extLst>
        </c:ser>
        <c:dLbls>
          <c:showLegendKey val="0"/>
          <c:showVal val="0"/>
          <c:showCatName val="0"/>
          <c:showSerName val="0"/>
          <c:showPercent val="0"/>
          <c:showBubbleSize val="0"/>
        </c:dLbls>
        <c:gapWidth val="219"/>
        <c:overlap val="-27"/>
        <c:axId val="1072818815"/>
        <c:axId val="1072819231"/>
      </c:barChart>
      <c:catAx>
        <c:axId val="1072818815"/>
        <c:scaling>
          <c:orientation val="minMax"/>
        </c:scaling>
        <c:delete val="0"/>
        <c:axPos val="b"/>
        <c:numFmt formatCode="General" sourceLinked="1"/>
        <c:majorTickMark val="none"/>
        <c:minorTickMark val="none"/>
        <c:tickLblPos val="nextTo"/>
        <c:spPr>
          <a:noFill/>
          <a:ln w="9525" cap="flat" cmpd="sng" algn="ctr">
            <a:solidFill>
              <a:schemeClr val="tx1">
                <a:lumMod val="15%"/>
                <a:lumOff val="85%"/>
              </a:schemeClr>
            </a:solidFill>
            <a:round/>
          </a:ln>
          <a:effectLst/>
        </c:spPr>
        <c:txPr>
          <a:bodyPr rot="-60000000" spcFirstLastPara="1" vertOverflow="ellipsis" vert="horz" wrap="square" anchor="ctr" anchorCtr="1"/>
          <a:lstStyle/>
          <a:p>
            <a:pPr>
              <a:defRPr sz="900" b="0" i="0" u="none" strike="noStrike" kern="1200" baseline="0%">
                <a:solidFill>
                  <a:schemeClr val="tx1">
                    <a:lumMod val="65%"/>
                    <a:lumOff val="35%"/>
                  </a:schemeClr>
                </a:solidFill>
                <a:latin typeface="+mn-lt"/>
                <a:ea typeface="+mn-ea"/>
                <a:cs typeface="+mn-cs"/>
              </a:defRPr>
            </a:pPr>
            <a:endParaRPr lang="en-US"/>
          </a:p>
        </c:txPr>
        <c:crossAx val="1072819231"/>
        <c:crosses val="autoZero"/>
        <c:auto val="1"/>
        <c:lblAlgn val="ctr"/>
        <c:lblOffset val="100"/>
        <c:noMultiLvlLbl val="0"/>
      </c:catAx>
      <c:valAx>
        <c:axId val="1072819231"/>
        <c:scaling>
          <c:orientation val="minMax"/>
        </c:scaling>
        <c:delete val="0"/>
        <c:axPos val="l"/>
        <c:majorGridlines>
          <c:spPr>
            <a:ln w="9525" cap="flat" cmpd="sng" algn="ctr">
              <a:solidFill>
                <a:schemeClr val="tx1">
                  <a:lumMod val="15%"/>
                  <a:lumOff val="85%"/>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
                    <a:lumOff val="35%"/>
                  </a:schemeClr>
                </a:solidFill>
                <a:latin typeface="+mn-lt"/>
                <a:ea typeface="+mn-ea"/>
                <a:cs typeface="+mn-cs"/>
              </a:defRPr>
            </a:pPr>
            <a:endParaRPr lang="en-US"/>
          </a:p>
        </c:txPr>
        <c:crossAx val="10728188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
                  <a:lumOff val="35%"/>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
          <a:lumOff val="85%"/>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purl.oclc.org/ooxml/drawingml/chart" xmlns:a="http://purl.oclc.org/ooxml/drawingml/main" xmlns:r="http://purl.oclc.org/ooxml/officeDocument/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[Amazon_Sales_Performance_Analysis.xlsx]PVT_Payment!PivotTable5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
                  <a:lumOff val="35%"/>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pieChart>
        <c:varyColors val="1"/>
        <c:ser>
          <c:idx val="0"/>
          <c:order val="0"/>
          <c:tx>
            <c:strRef>
              <c:f>PVT_Payment!$B$3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500-4716-95CF-CFF2B5964F7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500-4716-95CF-CFF2B5964F7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500-4716-95CF-CFF2B5964F72}"/>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F500-4716-95CF-CFF2B5964F72}"/>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F500-4716-95CF-CFF2B5964F72}"/>
              </c:ext>
            </c:extLst>
          </c:dPt>
          <c:cat>
            <c:strRef>
              <c:f>PVT_Payment!$A$4:$A$9</c:f>
              <c:strCache>
                <c:ptCount val="5"/>
                <c:pt idx="0">
                  <c:v>PayPal</c:v>
                </c:pt>
                <c:pt idx="1">
                  <c:v>Credit Card</c:v>
                </c:pt>
                <c:pt idx="2">
                  <c:v>Gift Card</c:v>
                </c:pt>
                <c:pt idx="3">
                  <c:v>Amazon Pay</c:v>
                </c:pt>
                <c:pt idx="4">
                  <c:v>Debit Card</c:v>
                </c:pt>
              </c:strCache>
            </c:strRef>
          </c:cat>
          <c:val>
            <c:numRef>
              <c:f>PVT_Payment!$B$4:$B$9</c:f>
              <c:numCache>
                <c:formatCode>General</c:formatCode>
                <c:ptCount val="5"/>
                <c:pt idx="0">
                  <c:v>69645</c:v>
                </c:pt>
                <c:pt idx="1">
                  <c:v>61595</c:v>
                </c:pt>
                <c:pt idx="2">
                  <c:v>47955</c:v>
                </c:pt>
                <c:pt idx="3">
                  <c:v>32750</c:v>
                </c:pt>
                <c:pt idx="4">
                  <c:v>31900</c:v>
                </c:pt>
              </c:numCache>
            </c:numRef>
          </c:val>
          <c:extLst>
            <c:ext xmlns:c16="http://schemas.microsoft.com/office/drawing/2014/chart" uri="{C3380CC4-5D6E-409C-BE32-E72D297353CC}">
              <c16:uniqueId val="{00000000-666A-4434-9898-36E1693E910F}"/>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
                  <a:lumOff val="35%"/>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
          <a:lumOff val="85%"/>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purl.oclc.org/ooxml/drawingml/chart" xmlns:a="http://purl.oclc.org/ooxml/drawingml/main" xmlns:r="http://purl.oclc.org/ooxml/officeDocument/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[Amazon_Sales_Performance_Analysis.xlsx]PVT_Status!PivotTable6</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
                  <a:lumOff val="35%"/>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PVT_Status!$B$3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449-45B4-8471-83D3CCD3FDB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449-45B4-8471-83D3CCD3FDB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449-45B4-8471-83D3CCD3FDBC}"/>
              </c:ext>
            </c:extLst>
          </c:dPt>
          <c:cat>
            <c:strRef>
              <c:f>PVT_Status!$A$4:$A$7</c:f>
              <c:strCache>
                <c:ptCount val="3"/>
                <c:pt idx="0">
                  <c:v>Cancelled</c:v>
                </c:pt>
                <c:pt idx="1">
                  <c:v>Completed</c:v>
                </c:pt>
                <c:pt idx="2">
                  <c:v>Pending</c:v>
                </c:pt>
              </c:strCache>
            </c:strRef>
          </c:cat>
          <c:val>
            <c:numRef>
              <c:f>PVT_Status!$B$4:$B$7</c:f>
              <c:numCache>
                <c:formatCode>General</c:formatCode>
                <c:ptCount val="3"/>
                <c:pt idx="0">
                  <c:v>77</c:v>
                </c:pt>
                <c:pt idx="1">
                  <c:v>88</c:v>
                </c:pt>
                <c:pt idx="2">
                  <c:v>85</c:v>
                </c:pt>
              </c:numCache>
            </c:numRef>
          </c:val>
          <c:extLst>
            <c:ext xmlns:c16="http://schemas.microsoft.com/office/drawing/2014/chart" uri="{C3380CC4-5D6E-409C-BE32-E72D297353CC}">
              <c16:uniqueId val="{00000000-E75A-447F-B436-3FAE1C0E7359}"/>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
                  <a:lumOff val="35%"/>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
          <a:lumOff val="85%"/>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purl.oclc.org/ooxml/drawingml/chart" xmlns:a="http://purl.oclc.org/ooxml/drawingml/main" xmlns:r="http://purl.oclc.org/ooxml/officeDocument/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[Amazon_Sales_Performance_Analysis.xlsx]PVT_Customer!PivotTable7</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
                  <a:lumOff val="35%"/>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PVT_Customer!$B$3</c:f>
              <c:strCache>
                <c:ptCount val="1"/>
                <c:pt idx="0">
                  <c:v>Total</c:v>
                </c:pt>
              </c:strCache>
            </c:strRef>
          </c:tx>
          <c:spPr>
            <a:solidFill>
              <a:schemeClr val="accent1"/>
            </a:solidFill>
            <a:ln>
              <a:noFill/>
            </a:ln>
            <a:effectLst/>
          </c:spPr>
          <c:invertIfNegative val="0"/>
          <c:cat>
            <c:strRef>
              <c:f>PVT_Customer!$A$4:$A$14</c:f>
              <c:strCache>
                <c:ptCount val="10"/>
                <c:pt idx="0">
                  <c:v>Olivia Wilson</c:v>
                </c:pt>
                <c:pt idx="1">
                  <c:v>Jane Smith</c:v>
                </c:pt>
                <c:pt idx="2">
                  <c:v>Emma Clark</c:v>
                </c:pt>
                <c:pt idx="3">
                  <c:v>John Doe</c:v>
                </c:pt>
                <c:pt idx="4">
                  <c:v>Emily Johnson</c:v>
                </c:pt>
                <c:pt idx="5">
                  <c:v>David Lee</c:v>
                </c:pt>
                <c:pt idx="6">
                  <c:v>Michael Brown</c:v>
                </c:pt>
                <c:pt idx="7">
                  <c:v>Daniel Harris</c:v>
                </c:pt>
                <c:pt idx="8">
                  <c:v>Chris White</c:v>
                </c:pt>
                <c:pt idx="9">
                  <c:v>Sophia Miller</c:v>
                </c:pt>
              </c:strCache>
            </c:strRef>
          </c:cat>
          <c:val>
            <c:numRef>
              <c:f>PVT_Customer!$B$4:$B$14</c:f>
              <c:numCache>
                <c:formatCode>General</c:formatCode>
                <c:ptCount val="10"/>
                <c:pt idx="0">
                  <c:v>36170</c:v>
                </c:pt>
                <c:pt idx="1">
                  <c:v>31185</c:v>
                </c:pt>
                <c:pt idx="2">
                  <c:v>29700</c:v>
                </c:pt>
                <c:pt idx="3">
                  <c:v>26870</c:v>
                </c:pt>
                <c:pt idx="4">
                  <c:v>23475</c:v>
                </c:pt>
                <c:pt idx="5">
                  <c:v>22665</c:v>
                </c:pt>
                <c:pt idx="6">
                  <c:v>22655</c:v>
                </c:pt>
                <c:pt idx="7">
                  <c:v>18945</c:v>
                </c:pt>
                <c:pt idx="8">
                  <c:v>18885</c:v>
                </c:pt>
                <c:pt idx="9">
                  <c:v>13295</c:v>
                </c:pt>
              </c:numCache>
            </c:numRef>
          </c:val>
          <c:extLst>
            <c:ext xmlns:c16="http://schemas.microsoft.com/office/drawing/2014/chart" uri="{C3380CC4-5D6E-409C-BE32-E72D297353CC}">
              <c16:uniqueId val="{00000000-7E48-47E0-87FA-5B195C8B756A}"/>
            </c:ext>
          </c:extLst>
        </c:ser>
        <c:dLbls>
          <c:showLegendKey val="0"/>
          <c:showVal val="0"/>
          <c:showCatName val="0"/>
          <c:showSerName val="0"/>
          <c:showPercent val="0"/>
          <c:showBubbleSize val="0"/>
        </c:dLbls>
        <c:gapWidth val="182"/>
        <c:axId val="1174481103"/>
        <c:axId val="1174481935"/>
      </c:barChart>
      <c:catAx>
        <c:axId val="1174481103"/>
        <c:scaling>
          <c:orientation val="minMax"/>
        </c:scaling>
        <c:delete val="0"/>
        <c:axPos val="l"/>
        <c:numFmt formatCode="General" sourceLinked="1"/>
        <c:majorTickMark val="none"/>
        <c:minorTickMark val="none"/>
        <c:tickLblPos val="nextTo"/>
        <c:spPr>
          <a:noFill/>
          <a:ln w="9525" cap="flat" cmpd="sng" algn="ctr">
            <a:solidFill>
              <a:schemeClr val="tx1">
                <a:lumMod val="15%"/>
                <a:lumOff val="85%"/>
              </a:schemeClr>
            </a:solidFill>
            <a:round/>
          </a:ln>
          <a:effectLst/>
        </c:spPr>
        <c:txPr>
          <a:bodyPr rot="-60000000" spcFirstLastPara="1" vertOverflow="ellipsis" vert="horz" wrap="square" anchor="ctr" anchorCtr="1"/>
          <a:lstStyle/>
          <a:p>
            <a:pPr>
              <a:defRPr sz="900" b="0" i="0" u="none" strike="noStrike" kern="1200" baseline="0%">
                <a:solidFill>
                  <a:schemeClr val="tx1">
                    <a:lumMod val="65%"/>
                    <a:lumOff val="35%"/>
                  </a:schemeClr>
                </a:solidFill>
                <a:latin typeface="+mn-lt"/>
                <a:ea typeface="+mn-ea"/>
                <a:cs typeface="+mn-cs"/>
              </a:defRPr>
            </a:pPr>
            <a:endParaRPr lang="en-US"/>
          </a:p>
        </c:txPr>
        <c:crossAx val="1174481935"/>
        <c:crosses val="autoZero"/>
        <c:auto val="1"/>
        <c:lblAlgn val="ctr"/>
        <c:lblOffset val="100"/>
        <c:noMultiLvlLbl val="0"/>
      </c:catAx>
      <c:valAx>
        <c:axId val="1174481935"/>
        <c:scaling>
          <c:orientation val="minMax"/>
        </c:scaling>
        <c:delete val="0"/>
        <c:axPos val="b"/>
        <c:majorGridlines>
          <c:spPr>
            <a:ln w="9525" cap="flat" cmpd="sng" algn="ctr">
              <a:solidFill>
                <a:schemeClr val="tx1">
                  <a:lumMod val="15%"/>
                  <a:lumOff val="85%"/>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
                    <a:lumOff val="35%"/>
                  </a:schemeClr>
                </a:solidFill>
                <a:latin typeface="+mn-lt"/>
                <a:ea typeface="+mn-ea"/>
                <a:cs typeface="+mn-cs"/>
              </a:defRPr>
            </a:pPr>
            <a:endParaRPr lang="en-US"/>
          </a:p>
        </c:txPr>
        <c:crossAx val="11744811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
                  <a:lumOff val="35%"/>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
          <a:lumOff val="85%"/>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purl.oclc.org/ooxml/drawingml/chart" xmlns:a="http://purl.oclc.org/ooxml/drawingml/main" xmlns:r="http://purl.oclc.org/ooxml/officeDocument/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[Amazon_Sales_Performance_Analysis.xlsx]PVT_Month!PivotTable8</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
                  <a:lumOff val="35%"/>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PVT_Month!$B$3</c:f>
              <c:strCache>
                <c:ptCount val="1"/>
                <c:pt idx="0">
                  <c:v>Total</c:v>
                </c:pt>
              </c:strCache>
            </c:strRef>
          </c:tx>
          <c:spPr>
            <a:solidFill>
              <a:schemeClr val="accent1"/>
            </a:solidFill>
            <a:ln>
              <a:noFill/>
            </a:ln>
            <a:effectLst/>
          </c:spPr>
          <c:invertIfNegative val="0"/>
          <c:cat>
            <c:strRef>
              <c:f>PVT_Month!$A$4:$A$7</c:f>
              <c:strCache>
                <c:ptCount val="3"/>
                <c:pt idx="0">
                  <c:v>Feb</c:v>
                </c:pt>
                <c:pt idx="1">
                  <c:v>Mar</c:v>
                </c:pt>
                <c:pt idx="2">
                  <c:v>Apr</c:v>
                </c:pt>
              </c:strCache>
            </c:strRef>
          </c:cat>
          <c:val>
            <c:numRef>
              <c:f>PVT_Month!$B$4:$B$7</c:f>
              <c:numCache>
                <c:formatCode>General</c:formatCode>
                <c:ptCount val="3"/>
                <c:pt idx="0">
                  <c:v>122695</c:v>
                </c:pt>
                <c:pt idx="1">
                  <c:v>117730</c:v>
                </c:pt>
                <c:pt idx="2">
                  <c:v>3420</c:v>
                </c:pt>
              </c:numCache>
            </c:numRef>
          </c:val>
          <c:extLst>
            <c:ext xmlns:c16="http://schemas.microsoft.com/office/drawing/2014/chart" uri="{C3380CC4-5D6E-409C-BE32-E72D297353CC}">
              <c16:uniqueId val="{00000000-4FD1-46DE-B9AF-136484F187B8}"/>
            </c:ext>
          </c:extLst>
        </c:ser>
        <c:dLbls>
          <c:showLegendKey val="0"/>
          <c:showVal val="0"/>
          <c:showCatName val="0"/>
          <c:showSerName val="0"/>
          <c:showPercent val="0"/>
          <c:showBubbleSize val="0"/>
        </c:dLbls>
        <c:gapWidth val="219"/>
        <c:overlap val="-27"/>
        <c:axId val="935837567"/>
        <c:axId val="935826335"/>
      </c:barChart>
      <c:catAx>
        <c:axId val="935837567"/>
        <c:scaling>
          <c:orientation val="minMax"/>
        </c:scaling>
        <c:delete val="0"/>
        <c:axPos val="b"/>
        <c:numFmt formatCode="General" sourceLinked="1"/>
        <c:majorTickMark val="none"/>
        <c:minorTickMark val="none"/>
        <c:tickLblPos val="nextTo"/>
        <c:spPr>
          <a:noFill/>
          <a:ln w="9525" cap="flat" cmpd="sng" algn="ctr">
            <a:solidFill>
              <a:schemeClr val="tx1">
                <a:lumMod val="15%"/>
                <a:lumOff val="85%"/>
              </a:schemeClr>
            </a:solidFill>
            <a:round/>
          </a:ln>
          <a:effectLst/>
        </c:spPr>
        <c:txPr>
          <a:bodyPr rot="-60000000" spcFirstLastPara="1" vertOverflow="ellipsis" vert="horz" wrap="square" anchor="ctr" anchorCtr="1"/>
          <a:lstStyle/>
          <a:p>
            <a:pPr>
              <a:defRPr sz="900" b="0" i="0" u="none" strike="noStrike" kern="1200" baseline="0%">
                <a:solidFill>
                  <a:schemeClr val="tx1">
                    <a:lumMod val="65%"/>
                    <a:lumOff val="35%"/>
                  </a:schemeClr>
                </a:solidFill>
                <a:latin typeface="+mn-lt"/>
                <a:ea typeface="+mn-ea"/>
                <a:cs typeface="+mn-cs"/>
              </a:defRPr>
            </a:pPr>
            <a:endParaRPr lang="en-US"/>
          </a:p>
        </c:txPr>
        <c:crossAx val="935826335"/>
        <c:crosses val="autoZero"/>
        <c:auto val="1"/>
        <c:lblAlgn val="ctr"/>
        <c:lblOffset val="100"/>
        <c:noMultiLvlLbl val="0"/>
      </c:catAx>
      <c:valAx>
        <c:axId val="935826335"/>
        <c:scaling>
          <c:orientation val="minMax"/>
        </c:scaling>
        <c:delete val="0"/>
        <c:axPos val="l"/>
        <c:majorGridlines>
          <c:spPr>
            <a:ln w="9525" cap="flat" cmpd="sng" algn="ctr">
              <a:solidFill>
                <a:schemeClr val="tx1">
                  <a:lumMod val="15%"/>
                  <a:lumOff val="85%"/>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
                    <a:lumOff val="35%"/>
                  </a:schemeClr>
                </a:solidFill>
                <a:latin typeface="+mn-lt"/>
                <a:ea typeface="+mn-ea"/>
                <a:cs typeface="+mn-cs"/>
              </a:defRPr>
            </a:pPr>
            <a:endParaRPr lang="en-US"/>
          </a:p>
        </c:txPr>
        <c:crossAx val="9358375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
                  <a:lumOff val="35%"/>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
          <a:lumOff val="85%"/>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purl.oclc.org/ooxml/drawingml/chart" xmlns:a="http://purl.oclc.org/ooxml/drawingml/main" xmlns:r="http://purl.oclc.org/ooxml/officeDocument/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[Amazon_Sales_Performance_Analysis.xlsx]PVT_Product!PivotTable3</c:name>
    <c:fmtId val="3"/>
  </c:pivotSource>
  <c:chart>
    <c:title>
      <c:tx>
        <c:rich>
          <a:bodyPr rot="0" spcFirstLastPara="1" vertOverflow="ellipsis" vert="horz" wrap="square" anchor="ctr" anchorCtr="1"/>
          <a:lstStyle/>
          <a:p>
            <a:pPr>
              <a:defRPr sz="1600" b="1" i="0" u="none" strike="noStrike" kern="1200" spc="100" baseline="0%">
                <a:solidFill>
                  <a:schemeClr val="lt1">
                    <a:lumMod val="95%"/>
                  </a:schemeClr>
                </a:solidFill>
                <a:effectLst>
                  <a:outerShdw blurRad="50800" dist="38100" dir="5400000" algn="t" rotWithShape="0">
                    <a:prstClr val="black">
                      <a:alpha val="40%"/>
                    </a:prstClr>
                  </a:outerShdw>
                </a:effectLst>
                <a:latin typeface="+mn-lt"/>
                <a:ea typeface="+mn-ea"/>
                <a:cs typeface="+mn-cs"/>
              </a:defRPr>
            </a:pPr>
            <a:r>
              <a:rPr lang="en-US"/>
              <a:t>Total Sales by Product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
                </a:schemeClr>
              </a:solidFill>
              <a:effectLst>
                <a:outerShdw blurRad="50800" dist="38100" dir="5400000" algn="t" rotWithShape="0">
                  <a:prstClr val="black">
                    <a:alpha val="4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
                  <a:lumMod val="102%"/>
                  <a:tint val="94%"/>
                </a:schemeClr>
              </a:gs>
              <a:gs pos="50%">
                <a:schemeClr val="accent1">
                  <a:satMod val="110%"/>
                  <a:lumMod val="100%"/>
                  <a:shade val="100%"/>
                </a:schemeClr>
              </a:gs>
              <a:gs pos="100%">
                <a:schemeClr val="accent1">
                  <a:lumMod val="99%"/>
                  <a:satMod val="120%"/>
                  <a:shade val="78%"/>
                </a:schemeClr>
              </a:gs>
            </a:gsLst>
            <a:lin ang="5400000" scaled="0"/>
          </a:gradFill>
          <a:ln>
            <a:noFill/>
          </a:ln>
          <a:effectLst>
            <a:outerShdw blurRad="57150" dist="19050" dir="5400000" algn="ctr" rotWithShape="0">
              <a:srgbClr val="000000">
                <a:alpha val="63%"/>
              </a:srgbClr>
            </a:outerShdw>
          </a:effectLst>
        </c:spPr>
        <c:marker>
          <c:symbol val="circle"/>
          <c:size val="6"/>
          <c:spPr>
            <a:gradFill rotWithShape="1">
              <a:gsLst>
                <a:gs pos="0%">
                  <a:schemeClr val="accent1">
                    <a:satMod val="103%"/>
                    <a:lumMod val="102%"/>
                    <a:tint val="94%"/>
                  </a:schemeClr>
                </a:gs>
                <a:gs pos="50%">
                  <a:schemeClr val="accent1">
                    <a:satMod val="110%"/>
                    <a:lumMod val="100%"/>
                    <a:shade val="100%"/>
                  </a:schemeClr>
                </a:gs>
                <a:gs pos="100%">
                  <a:schemeClr val="accent1">
                    <a:lumMod val="99%"/>
                    <a:satMod val="120%"/>
                    <a:shade val="78%"/>
                  </a:schemeClr>
                </a:gs>
              </a:gsLst>
              <a:lin ang="5400000" scaled="0"/>
            </a:gradFill>
            <a:ln w="9525">
              <a:solidFill>
                <a:schemeClr val="accent1"/>
              </a:solidFill>
              <a:round/>
            </a:ln>
            <a:effectLst>
              <a:outerShdw blurRad="57150" dist="19050" dir="5400000" algn="ctr" rotWithShape="0">
                <a:srgbClr val="000000">
                  <a:alpha val="63%"/>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PVT_Product!$B$3</c:f>
              <c:strCache>
                <c:ptCount val="1"/>
                <c:pt idx="0">
                  <c:v>Total</c:v>
                </c:pt>
              </c:strCache>
            </c:strRef>
          </c:tx>
          <c:spPr>
            <a:gradFill rotWithShape="1">
              <a:gsLst>
                <a:gs pos="0%">
                  <a:schemeClr val="accent1">
                    <a:satMod val="103%"/>
                    <a:lumMod val="102%"/>
                    <a:tint val="94%"/>
                  </a:schemeClr>
                </a:gs>
                <a:gs pos="50%">
                  <a:schemeClr val="accent1">
                    <a:satMod val="110%"/>
                    <a:lumMod val="100%"/>
                    <a:shade val="100%"/>
                  </a:schemeClr>
                </a:gs>
                <a:gs pos="100%">
                  <a:schemeClr val="accent1">
                    <a:lumMod val="99%"/>
                    <a:satMod val="120%"/>
                    <a:shade val="78%"/>
                  </a:schemeClr>
                </a:gs>
              </a:gsLst>
              <a:lin ang="5400000" scaled="0"/>
            </a:gradFill>
            <a:ln>
              <a:noFill/>
            </a:ln>
            <a:effectLst>
              <a:outerShdw blurRad="57150" dist="19050" dir="5400000" algn="ctr" rotWithShape="0">
                <a:srgbClr val="000000">
                  <a:alpha val="63%"/>
                </a:srgbClr>
              </a:outerShdw>
            </a:effectLst>
          </c:spPr>
          <c:invertIfNegative val="0"/>
          <c:cat>
            <c:strRef>
              <c:f>PVT_Product!$A$4:$A$14</c:f>
              <c:strCache>
                <c:ptCount val="10"/>
                <c:pt idx="0">
                  <c:v>Refrigerator</c:v>
                </c:pt>
                <c:pt idx="1">
                  <c:v>Laptop</c:v>
                </c:pt>
                <c:pt idx="2">
                  <c:v>Smartphone</c:v>
                </c:pt>
                <c:pt idx="3">
                  <c:v>Washing Machine</c:v>
                </c:pt>
                <c:pt idx="4">
                  <c:v>Smartwatch</c:v>
                </c:pt>
                <c:pt idx="5">
                  <c:v>Headphones</c:v>
                </c:pt>
                <c:pt idx="6">
                  <c:v>Running Shoes</c:v>
                </c:pt>
                <c:pt idx="7">
                  <c:v>Jeans</c:v>
                </c:pt>
                <c:pt idx="8">
                  <c:v>T-Shirt</c:v>
                </c:pt>
                <c:pt idx="9">
                  <c:v>Book</c:v>
                </c:pt>
              </c:strCache>
            </c:strRef>
          </c:cat>
          <c:val>
            <c:numRef>
              <c:f>PVT_Product!$B$4:$B$14</c:f>
              <c:numCache>
                <c:formatCode>General</c:formatCode>
                <c:ptCount val="10"/>
                <c:pt idx="0">
                  <c:v>78000</c:v>
                </c:pt>
                <c:pt idx="1">
                  <c:v>58400</c:v>
                </c:pt>
                <c:pt idx="2">
                  <c:v>48500</c:v>
                </c:pt>
                <c:pt idx="3">
                  <c:v>27000</c:v>
                </c:pt>
                <c:pt idx="4">
                  <c:v>15750</c:v>
                </c:pt>
                <c:pt idx="5">
                  <c:v>7300</c:v>
                </c:pt>
                <c:pt idx="6">
                  <c:v>4320</c:v>
                </c:pt>
                <c:pt idx="7">
                  <c:v>2480</c:v>
                </c:pt>
                <c:pt idx="8">
                  <c:v>1060</c:v>
                </c:pt>
                <c:pt idx="9">
                  <c:v>1035</c:v>
                </c:pt>
              </c:numCache>
            </c:numRef>
          </c:val>
          <c:extLst>
            <c:ext xmlns:c16="http://schemas.microsoft.com/office/drawing/2014/chart" uri="{C3380CC4-5D6E-409C-BE32-E72D297353CC}">
              <c16:uniqueId val="{00000000-3543-4E9C-AF39-02D5EA30951F}"/>
            </c:ext>
          </c:extLst>
        </c:ser>
        <c:dLbls>
          <c:showLegendKey val="0"/>
          <c:showVal val="0"/>
          <c:showCatName val="0"/>
          <c:showSerName val="0"/>
          <c:showPercent val="0"/>
          <c:showBubbleSize val="0"/>
        </c:dLbls>
        <c:gapWidth val="100"/>
        <c:overlap val="-24"/>
        <c:axId val="1069573407"/>
        <c:axId val="935409151"/>
      </c:barChart>
      <c:catAx>
        <c:axId val="1069573407"/>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
                      </a:schemeClr>
                    </a:solidFill>
                    <a:latin typeface="+mn-lt"/>
                    <a:ea typeface="+mn-ea"/>
                    <a:cs typeface="+mn-cs"/>
                  </a:defRPr>
                </a:pPr>
                <a:r>
                  <a:rPr lang="en-IN"/>
                  <a:t>Products</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
                <a:alpha val="54%"/>
              </a:schemeClr>
            </a:solidFill>
            <a:round/>
          </a:ln>
          <a:effectLst/>
        </c:spPr>
        <c:txPr>
          <a:bodyPr rot="-60000000" spcFirstLastPara="1" vertOverflow="ellipsis" vert="horz" wrap="square" anchor="ctr" anchorCtr="1"/>
          <a:lstStyle/>
          <a:p>
            <a:pPr>
              <a:defRPr sz="900" b="0" i="0" u="none" strike="noStrike" kern="1200" baseline="0%">
                <a:solidFill>
                  <a:schemeClr val="lt1">
                    <a:lumMod val="85%"/>
                  </a:schemeClr>
                </a:solidFill>
                <a:latin typeface="+mn-lt"/>
                <a:ea typeface="+mn-ea"/>
                <a:cs typeface="+mn-cs"/>
              </a:defRPr>
            </a:pPr>
            <a:endParaRPr lang="en-US"/>
          </a:p>
        </c:txPr>
        <c:crossAx val="935409151"/>
        <c:crosses val="autoZero"/>
        <c:auto val="1"/>
        <c:lblAlgn val="ctr"/>
        <c:lblOffset val="100"/>
        <c:noMultiLvlLbl val="0"/>
      </c:catAx>
      <c:valAx>
        <c:axId val="935409151"/>
        <c:scaling>
          <c:orientation val="minMax"/>
        </c:scaling>
        <c:delete val="0"/>
        <c:axPos val="l"/>
        <c:majorGridlines>
          <c:spPr>
            <a:ln w="9525" cap="flat" cmpd="sng" algn="ctr">
              <a:solidFill>
                <a:schemeClr val="lt1">
                  <a:lumMod val="95%"/>
                  <a:alpha val="1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
                      </a:schemeClr>
                    </a:solidFill>
                    <a:latin typeface="+mn-lt"/>
                    <a:ea typeface="+mn-ea"/>
                    <a:cs typeface="+mn-cs"/>
                  </a:defRPr>
                </a:pPr>
                <a:r>
                  <a:rPr lang="en-IN"/>
                  <a:t>Sales</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
                  </a:schemeClr>
                </a:solidFill>
                <a:latin typeface="+mn-lt"/>
                <a:ea typeface="+mn-ea"/>
                <a:cs typeface="+mn-cs"/>
              </a:defRPr>
            </a:pPr>
            <a:endParaRPr lang="en-US"/>
          </a:p>
        </c:txPr>
        <c:crossAx val="106957340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
            <a:lumOff val="35%"/>
          </a:schemeClr>
        </a:gs>
        <a:gs pos="100%">
          <a:schemeClr val="dk1">
            <a:lumMod val="85%"/>
            <a:lumOff val="15%"/>
          </a:schemeClr>
        </a:gs>
      </a:gsLst>
      <a:path path="circle">
        <a:fillToRect l="50%" t="50%" r="50%" b="5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purl.oclc.org/ooxml/drawingml/chart" xmlns:a="http://purl.oclc.org/ooxml/drawingml/main" xmlns:r="http://purl.oclc.org/ooxml/officeDocument/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[Amazon_Sales_Performance_Analysis.xlsx]PVT_Location!PivotTable4</c:name>
    <c:fmtId val="3"/>
  </c:pivotSource>
  <c:chart>
    <c:title>
      <c:tx>
        <c:rich>
          <a:bodyPr rot="0" spcFirstLastPara="1" vertOverflow="ellipsis" vert="horz" wrap="square" anchor="ctr" anchorCtr="1"/>
          <a:lstStyle/>
          <a:p>
            <a:pPr>
              <a:defRPr sz="1600" b="1" i="0" u="none" strike="noStrike" kern="1200" spc="100" baseline="0%">
                <a:solidFill>
                  <a:schemeClr val="lt1">
                    <a:lumMod val="95%"/>
                  </a:schemeClr>
                </a:solidFill>
                <a:effectLst>
                  <a:outerShdw blurRad="50800" dist="38100" dir="5400000" algn="t" rotWithShape="0">
                    <a:prstClr val="black">
                      <a:alpha val="40%"/>
                    </a:prstClr>
                  </a:outerShdw>
                </a:effectLst>
                <a:latin typeface="+mn-lt"/>
                <a:ea typeface="+mn-ea"/>
                <a:cs typeface="+mn-cs"/>
              </a:defRPr>
            </a:pPr>
            <a:r>
              <a:rPr lang="en-US"/>
              <a:t>Total Sales by Customer Location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
                </a:schemeClr>
              </a:solidFill>
              <a:effectLst>
                <a:outerShdw blurRad="50800" dist="38100" dir="5400000" algn="t" rotWithShape="0">
                  <a:prstClr val="black">
                    <a:alpha val="4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
                  <a:lumMod val="102%"/>
                  <a:tint val="94%"/>
                </a:schemeClr>
              </a:gs>
              <a:gs pos="50%">
                <a:schemeClr val="accent1">
                  <a:satMod val="110%"/>
                  <a:lumMod val="100%"/>
                  <a:shade val="100%"/>
                </a:schemeClr>
              </a:gs>
              <a:gs pos="100%">
                <a:schemeClr val="accent1">
                  <a:lumMod val="99%"/>
                  <a:satMod val="120%"/>
                  <a:shade val="78%"/>
                </a:schemeClr>
              </a:gs>
            </a:gsLst>
            <a:lin ang="5400000" scaled="0"/>
          </a:gradFill>
          <a:ln>
            <a:noFill/>
          </a:ln>
          <a:effectLst>
            <a:outerShdw blurRad="57150" dist="19050" dir="5400000" algn="ctr" rotWithShape="0">
              <a:srgbClr val="000000">
                <a:alpha val="63%"/>
              </a:srgbClr>
            </a:outerShdw>
          </a:effectLst>
        </c:spPr>
        <c:marker>
          <c:symbol val="circle"/>
          <c:size val="6"/>
          <c:spPr>
            <a:gradFill rotWithShape="1">
              <a:gsLst>
                <a:gs pos="0%">
                  <a:schemeClr val="accent1">
                    <a:satMod val="103%"/>
                    <a:lumMod val="102%"/>
                    <a:tint val="94%"/>
                  </a:schemeClr>
                </a:gs>
                <a:gs pos="50%">
                  <a:schemeClr val="accent1">
                    <a:satMod val="110%"/>
                    <a:lumMod val="100%"/>
                    <a:shade val="100%"/>
                  </a:schemeClr>
                </a:gs>
                <a:gs pos="100%">
                  <a:schemeClr val="accent1">
                    <a:lumMod val="99%"/>
                    <a:satMod val="120%"/>
                    <a:shade val="78%"/>
                  </a:schemeClr>
                </a:gs>
              </a:gsLst>
              <a:lin ang="5400000" scaled="0"/>
            </a:gradFill>
            <a:ln w="9525">
              <a:solidFill>
                <a:schemeClr val="accent1"/>
              </a:solidFill>
              <a:round/>
            </a:ln>
            <a:effectLst>
              <a:outerShdw blurRad="57150" dist="19050" dir="5400000" algn="ctr" rotWithShape="0">
                <a:srgbClr val="000000">
                  <a:alpha val="63%"/>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PVT_Location!$B$3</c:f>
              <c:strCache>
                <c:ptCount val="1"/>
                <c:pt idx="0">
                  <c:v>Total</c:v>
                </c:pt>
              </c:strCache>
            </c:strRef>
          </c:tx>
          <c:spPr>
            <a:gradFill rotWithShape="1">
              <a:gsLst>
                <a:gs pos="0%">
                  <a:schemeClr val="accent1">
                    <a:satMod val="103%"/>
                    <a:lumMod val="102%"/>
                    <a:tint val="94%"/>
                  </a:schemeClr>
                </a:gs>
                <a:gs pos="50%">
                  <a:schemeClr val="accent1">
                    <a:satMod val="110%"/>
                    <a:lumMod val="100%"/>
                    <a:shade val="100%"/>
                  </a:schemeClr>
                </a:gs>
                <a:gs pos="100%">
                  <a:schemeClr val="accent1">
                    <a:lumMod val="99%"/>
                    <a:satMod val="120%"/>
                    <a:shade val="78%"/>
                  </a:schemeClr>
                </a:gs>
              </a:gsLst>
              <a:lin ang="5400000" scaled="0"/>
            </a:gradFill>
            <a:ln>
              <a:noFill/>
            </a:ln>
            <a:effectLst>
              <a:outerShdw blurRad="57150" dist="19050" dir="5400000" algn="ctr" rotWithShape="0">
                <a:srgbClr val="000000">
                  <a:alpha val="63%"/>
                </a:srgbClr>
              </a:outerShdw>
            </a:effectLst>
          </c:spPr>
          <c:invertIfNegative val="0"/>
          <c:cat>
            <c:strRef>
              <c:f>PVT_Location!$A$4:$A$14</c:f>
              <c:strCache>
                <c:ptCount val="10"/>
                <c:pt idx="0">
                  <c:v>Miami</c:v>
                </c:pt>
                <c:pt idx="1">
                  <c:v>Denver</c:v>
                </c:pt>
                <c:pt idx="2">
                  <c:v>Houston</c:v>
                </c:pt>
                <c:pt idx="3">
                  <c:v>Dallas</c:v>
                </c:pt>
                <c:pt idx="4">
                  <c:v>Seattle</c:v>
                </c:pt>
                <c:pt idx="5">
                  <c:v>Boston</c:v>
                </c:pt>
                <c:pt idx="6">
                  <c:v>Chicago</c:v>
                </c:pt>
                <c:pt idx="7">
                  <c:v>New York</c:v>
                </c:pt>
                <c:pt idx="8">
                  <c:v>Los Angeles</c:v>
                </c:pt>
                <c:pt idx="9">
                  <c:v>San Francisco</c:v>
                </c:pt>
              </c:strCache>
            </c:strRef>
          </c:cat>
          <c:val>
            <c:numRef>
              <c:f>PVT_Location!$B$4:$B$14</c:f>
              <c:numCache>
                <c:formatCode>General</c:formatCode>
                <c:ptCount val="10"/>
                <c:pt idx="0">
                  <c:v>31700</c:v>
                </c:pt>
                <c:pt idx="1">
                  <c:v>29785</c:v>
                </c:pt>
                <c:pt idx="2">
                  <c:v>28390</c:v>
                </c:pt>
                <c:pt idx="3">
                  <c:v>27145</c:v>
                </c:pt>
                <c:pt idx="4">
                  <c:v>26890</c:v>
                </c:pt>
                <c:pt idx="5">
                  <c:v>26170</c:v>
                </c:pt>
                <c:pt idx="6">
                  <c:v>20810</c:v>
                </c:pt>
                <c:pt idx="7">
                  <c:v>18940</c:v>
                </c:pt>
                <c:pt idx="8">
                  <c:v>17820</c:v>
                </c:pt>
                <c:pt idx="9">
                  <c:v>16195</c:v>
                </c:pt>
              </c:numCache>
            </c:numRef>
          </c:val>
          <c:extLst>
            <c:ext xmlns:c16="http://schemas.microsoft.com/office/drawing/2014/chart" uri="{C3380CC4-5D6E-409C-BE32-E72D297353CC}">
              <c16:uniqueId val="{00000000-F2D1-4EB3-94DF-A749D21D96B3}"/>
            </c:ext>
          </c:extLst>
        </c:ser>
        <c:dLbls>
          <c:showLegendKey val="0"/>
          <c:showVal val="0"/>
          <c:showCatName val="0"/>
          <c:showSerName val="0"/>
          <c:showPercent val="0"/>
          <c:showBubbleSize val="0"/>
        </c:dLbls>
        <c:gapWidth val="100"/>
        <c:overlap val="-24"/>
        <c:axId val="1072818815"/>
        <c:axId val="1072819231"/>
      </c:barChart>
      <c:catAx>
        <c:axId val="1072818815"/>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
                      </a:schemeClr>
                    </a:solidFill>
                    <a:latin typeface="+mn-lt"/>
                    <a:ea typeface="+mn-ea"/>
                    <a:cs typeface="+mn-cs"/>
                  </a:defRPr>
                </a:pPr>
                <a:r>
                  <a:rPr lang="en-IN"/>
                  <a:t>CUstomer  Locations</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
                <a:alpha val="54%"/>
              </a:schemeClr>
            </a:solidFill>
            <a:round/>
          </a:ln>
          <a:effectLst/>
        </c:spPr>
        <c:txPr>
          <a:bodyPr rot="-60000000" spcFirstLastPara="1" vertOverflow="ellipsis" vert="horz" wrap="square" anchor="ctr" anchorCtr="1"/>
          <a:lstStyle/>
          <a:p>
            <a:pPr>
              <a:defRPr sz="900" b="0" i="0" u="none" strike="noStrike" kern="1200" baseline="0%">
                <a:solidFill>
                  <a:schemeClr val="lt1">
                    <a:lumMod val="85%"/>
                  </a:schemeClr>
                </a:solidFill>
                <a:latin typeface="+mn-lt"/>
                <a:ea typeface="+mn-ea"/>
                <a:cs typeface="+mn-cs"/>
              </a:defRPr>
            </a:pPr>
            <a:endParaRPr lang="en-US"/>
          </a:p>
        </c:txPr>
        <c:crossAx val="1072819231"/>
        <c:crosses val="autoZero"/>
        <c:auto val="1"/>
        <c:lblAlgn val="ctr"/>
        <c:lblOffset val="100"/>
        <c:noMultiLvlLbl val="0"/>
      </c:catAx>
      <c:valAx>
        <c:axId val="1072819231"/>
        <c:scaling>
          <c:orientation val="minMax"/>
        </c:scaling>
        <c:delete val="0"/>
        <c:axPos val="l"/>
        <c:majorGridlines>
          <c:spPr>
            <a:ln w="9525" cap="flat" cmpd="sng" algn="ctr">
              <a:solidFill>
                <a:schemeClr val="lt1">
                  <a:lumMod val="95%"/>
                  <a:alpha val="1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
                      </a:schemeClr>
                    </a:solidFill>
                    <a:latin typeface="+mn-lt"/>
                    <a:ea typeface="+mn-ea"/>
                    <a:cs typeface="+mn-cs"/>
                  </a:defRPr>
                </a:pPr>
                <a:r>
                  <a:rPr lang="en-IN"/>
                  <a:t>Sales</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
                  </a:schemeClr>
                </a:solidFill>
                <a:latin typeface="+mn-lt"/>
                <a:ea typeface="+mn-ea"/>
                <a:cs typeface="+mn-cs"/>
              </a:defRPr>
            </a:pPr>
            <a:endParaRPr lang="en-US"/>
          </a:p>
        </c:txPr>
        <c:crossAx val="107281881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
            <a:lumOff val="35%"/>
          </a:schemeClr>
        </a:gs>
        <a:gs pos="100%">
          <a:schemeClr val="dk1">
            <a:lumMod val="85%"/>
            <a:lumOff val="15%"/>
          </a:schemeClr>
        </a:gs>
      </a:gsLst>
      <a:path path="circle">
        <a:fillToRect l="50%" t="50%" r="50%" b="5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purl.oclc.org/ooxml/drawingml/chart" xmlns:a="http://purl.oclc.org/ooxml/drawingml/main" xmlns:r="http://purl.oclc.org/ooxml/officeDocument/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[Amazon_Sales_Performance_Analysis.xlsx]PVT_Month!PivotTable8</c:name>
    <c:fmtId val="3"/>
  </c:pivotSource>
  <c:chart>
    <c:title>
      <c:tx>
        <c:rich>
          <a:bodyPr rot="0" spcFirstLastPara="1" vertOverflow="ellipsis" vert="horz" wrap="square" anchor="ctr" anchorCtr="1"/>
          <a:lstStyle/>
          <a:p>
            <a:pPr>
              <a:defRPr sz="1600" b="1" i="0" u="none" strike="noStrike" kern="1200" spc="100" baseline="0%">
                <a:solidFill>
                  <a:schemeClr val="lt1">
                    <a:lumMod val="95%"/>
                  </a:schemeClr>
                </a:solidFill>
                <a:effectLst>
                  <a:outerShdw blurRad="50800" dist="38100" dir="5400000" algn="t" rotWithShape="0">
                    <a:prstClr val="black">
                      <a:alpha val="40%"/>
                    </a:prstClr>
                  </a:outerShdw>
                </a:effectLst>
                <a:latin typeface="+mn-lt"/>
                <a:ea typeface="+mn-ea"/>
                <a:cs typeface="+mn-cs"/>
              </a:defRPr>
            </a:pPr>
            <a:r>
              <a:rPr lang="en-US"/>
              <a:t>Total Sales by Month </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
                </a:schemeClr>
              </a:solidFill>
              <a:effectLst>
                <a:outerShdw blurRad="50800" dist="38100" dir="5400000" algn="t" rotWithShape="0">
                  <a:prstClr val="black">
                    <a:alpha val="4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
                  <a:lumMod val="102%"/>
                  <a:tint val="94%"/>
                </a:schemeClr>
              </a:gs>
              <a:gs pos="50%">
                <a:schemeClr val="accent1">
                  <a:satMod val="110%"/>
                  <a:lumMod val="100%"/>
                  <a:shade val="100%"/>
                </a:schemeClr>
              </a:gs>
              <a:gs pos="100%">
                <a:schemeClr val="accent1">
                  <a:lumMod val="99%"/>
                  <a:satMod val="120%"/>
                  <a:shade val="78%"/>
                </a:schemeClr>
              </a:gs>
            </a:gsLst>
            <a:lin ang="5400000" scaled="0"/>
          </a:gradFill>
          <a:ln>
            <a:noFill/>
          </a:ln>
          <a:effectLst>
            <a:outerShdw blurRad="57150" dist="19050" dir="5400000" algn="ctr" rotWithShape="0">
              <a:srgbClr val="000000">
                <a:alpha val="63%"/>
              </a:srgbClr>
            </a:outerShdw>
          </a:effectLst>
        </c:spPr>
        <c:marker>
          <c:symbol val="circle"/>
          <c:size val="6"/>
          <c:spPr>
            <a:gradFill rotWithShape="1">
              <a:gsLst>
                <a:gs pos="0%">
                  <a:schemeClr val="accent1">
                    <a:satMod val="103%"/>
                    <a:lumMod val="102%"/>
                    <a:tint val="94%"/>
                  </a:schemeClr>
                </a:gs>
                <a:gs pos="50%">
                  <a:schemeClr val="accent1">
                    <a:satMod val="110%"/>
                    <a:lumMod val="100%"/>
                    <a:shade val="100%"/>
                  </a:schemeClr>
                </a:gs>
                <a:gs pos="100%">
                  <a:schemeClr val="accent1">
                    <a:lumMod val="99%"/>
                    <a:satMod val="120%"/>
                    <a:shade val="78%"/>
                  </a:schemeClr>
                </a:gs>
              </a:gsLst>
              <a:lin ang="5400000" scaled="0"/>
            </a:gradFill>
            <a:ln w="9525">
              <a:solidFill>
                <a:schemeClr val="accent1"/>
              </a:solidFill>
              <a:round/>
            </a:ln>
            <a:effectLst>
              <a:outerShdw blurRad="57150" dist="19050" dir="5400000" algn="ctr" rotWithShape="0">
                <a:srgbClr val="000000">
                  <a:alpha val="63%"/>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PVT_Month!$B$3</c:f>
              <c:strCache>
                <c:ptCount val="1"/>
                <c:pt idx="0">
                  <c:v>Total</c:v>
                </c:pt>
              </c:strCache>
            </c:strRef>
          </c:tx>
          <c:spPr>
            <a:gradFill rotWithShape="1">
              <a:gsLst>
                <a:gs pos="0%">
                  <a:schemeClr val="accent1">
                    <a:satMod val="103%"/>
                    <a:lumMod val="102%"/>
                    <a:tint val="94%"/>
                  </a:schemeClr>
                </a:gs>
                <a:gs pos="50%">
                  <a:schemeClr val="accent1">
                    <a:satMod val="110%"/>
                    <a:lumMod val="100%"/>
                    <a:shade val="100%"/>
                  </a:schemeClr>
                </a:gs>
                <a:gs pos="100%">
                  <a:schemeClr val="accent1">
                    <a:lumMod val="99%"/>
                    <a:satMod val="120%"/>
                    <a:shade val="78%"/>
                  </a:schemeClr>
                </a:gs>
              </a:gsLst>
              <a:lin ang="5400000" scaled="0"/>
            </a:gradFill>
            <a:ln>
              <a:noFill/>
            </a:ln>
            <a:effectLst>
              <a:outerShdw blurRad="57150" dist="19050" dir="5400000" algn="ctr" rotWithShape="0">
                <a:srgbClr val="000000">
                  <a:alpha val="63%"/>
                </a:srgbClr>
              </a:outerShdw>
            </a:effectLst>
          </c:spPr>
          <c:invertIfNegative val="0"/>
          <c:cat>
            <c:strRef>
              <c:f>PVT_Month!$A$4:$A$7</c:f>
              <c:strCache>
                <c:ptCount val="3"/>
                <c:pt idx="0">
                  <c:v>Feb</c:v>
                </c:pt>
                <c:pt idx="1">
                  <c:v>Mar</c:v>
                </c:pt>
                <c:pt idx="2">
                  <c:v>Apr</c:v>
                </c:pt>
              </c:strCache>
            </c:strRef>
          </c:cat>
          <c:val>
            <c:numRef>
              <c:f>PVT_Month!$B$4:$B$7</c:f>
              <c:numCache>
                <c:formatCode>General</c:formatCode>
                <c:ptCount val="3"/>
                <c:pt idx="0">
                  <c:v>122695</c:v>
                </c:pt>
                <c:pt idx="1">
                  <c:v>117730</c:v>
                </c:pt>
                <c:pt idx="2">
                  <c:v>3420</c:v>
                </c:pt>
              </c:numCache>
            </c:numRef>
          </c:val>
          <c:extLst>
            <c:ext xmlns:c16="http://schemas.microsoft.com/office/drawing/2014/chart" uri="{C3380CC4-5D6E-409C-BE32-E72D297353CC}">
              <c16:uniqueId val="{00000000-FEF5-418B-87BE-ACE4EAFB58EE}"/>
            </c:ext>
          </c:extLst>
        </c:ser>
        <c:dLbls>
          <c:showLegendKey val="0"/>
          <c:showVal val="0"/>
          <c:showCatName val="0"/>
          <c:showSerName val="0"/>
          <c:showPercent val="0"/>
          <c:showBubbleSize val="0"/>
        </c:dLbls>
        <c:gapWidth val="100"/>
        <c:overlap val="-24"/>
        <c:axId val="935837567"/>
        <c:axId val="935826335"/>
      </c:barChart>
      <c:catAx>
        <c:axId val="935837567"/>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
                      </a:schemeClr>
                    </a:solidFill>
                    <a:latin typeface="+mn-lt"/>
                    <a:ea typeface="+mn-ea"/>
                    <a:cs typeface="+mn-cs"/>
                  </a:defRPr>
                </a:pPr>
                <a:r>
                  <a:rPr lang="en-IN"/>
                  <a:t>Month</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
                <a:alpha val="54%"/>
              </a:schemeClr>
            </a:solidFill>
            <a:round/>
          </a:ln>
          <a:effectLst/>
        </c:spPr>
        <c:txPr>
          <a:bodyPr rot="-60000000" spcFirstLastPara="1" vertOverflow="ellipsis" vert="horz" wrap="square" anchor="ctr" anchorCtr="1"/>
          <a:lstStyle/>
          <a:p>
            <a:pPr>
              <a:defRPr sz="900" b="0" i="0" u="none" strike="noStrike" kern="1200" baseline="0%">
                <a:solidFill>
                  <a:schemeClr val="lt1">
                    <a:lumMod val="85%"/>
                  </a:schemeClr>
                </a:solidFill>
                <a:latin typeface="+mn-lt"/>
                <a:ea typeface="+mn-ea"/>
                <a:cs typeface="+mn-cs"/>
              </a:defRPr>
            </a:pPr>
            <a:endParaRPr lang="en-US"/>
          </a:p>
        </c:txPr>
        <c:crossAx val="935826335"/>
        <c:crosses val="autoZero"/>
        <c:auto val="1"/>
        <c:lblAlgn val="ctr"/>
        <c:lblOffset val="100"/>
        <c:noMultiLvlLbl val="0"/>
      </c:catAx>
      <c:valAx>
        <c:axId val="935826335"/>
        <c:scaling>
          <c:orientation val="minMax"/>
        </c:scaling>
        <c:delete val="0"/>
        <c:axPos val="l"/>
        <c:majorGridlines>
          <c:spPr>
            <a:ln w="9525" cap="flat" cmpd="sng" algn="ctr">
              <a:solidFill>
                <a:schemeClr val="lt1">
                  <a:lumMod val="95%"/>
                  <a:alpha val="1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
                      </a:schemeClr>
                    </a:solidFill>
                    <a:latin typeface="+mn-lt"/>
                    <a:ea typeface="+mn-ea"/>
                    <a:cs typeface="+mn-cs"/>
                  </a:defRPr>
                </a:pPr>
                <a:r>
                  <a:rPr lang="en-IN"/>
                  <a:t>Sales</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
                  </a:schemeClr>
                </a:solidFill>
                <a:latin typeface="+mn-lt"/>
                <a:ea typeface="+mn-ea"/>
                <a:cs typeface="+mn-cs"/>
              </a:defRPr>
            </a:pPr>
            <a:endParaRPr lang="en-US"/>
          </a:p>
        </c:txPr>
        <c:crossAx val="93583756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
            <a:lumOff val="35%"/>
          </a:schemeClr>
        </a:gs>
        <a:gs pos="100%">
          <a:schemeClr val="dk1">
            <a:lumMod val="85%"/>
            <a:lumOff val="15%"/>
          </a:schemeClr>
        </a:gs>
      </a:gsLst>
      <a:path path="circle">
        <a:fillToRect l="50%" t="50%" r="50%" b="5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purl.oclc.org/ooxml/drawingml/chart" xmlns:a="http://purl.oclc.org/ooxml/drawingml/main" xmlns:r="http://purl.oclc.org/ooxml/officeDocument/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[Amazon_Sales_Performance_Analysis.xlsx]PVT_Customer!PivotTable7</c:name>
    <c:fmtId val="3"/>
  </c:pivotSource>
  <c:chart>
    <c:title>
      <c:tx>
        <c:rich>
          <a:bodyPr rot="0" spcFirstLastPara="1" vertOverflow="ellipsis" vert="horz" wrap="square" anchor="ctr" anchorCtr="1"/>
          <a:lstStyle/>
          <a:p>
            <a:pPr>
              <a:defRPr sz="1600" b="1" i="0" u="none" strike="noStrike" kern="1200" spc="100" baseline="0%">
                <a:solidFill>
                  <a:schemeClr val="lt1">
                    <a:lumMod val="95%"/>
                  </a:schemeClr>
                </a:solidFill>
                <a:effectLst>
                  <a:outerShdw blurRad="50800" dist="38100" dir="5400000" algn="t" rotWithShape="0">
                    <a:prstClr val="black">
                      <a:alpha val="40%"/>
                    </a:prstClr>
                  </a:outerShdw>
                </a:effectLst>
                <a:latin typeface="+mn-lt"/>
                <a:ea typeface="+mn-ea"/>
                <a:cs typeface="+mn-cs"/>
              </a:defRPr>
            </a:pPr>
            <a:r>
              <a:rPr lang="en-US"/>
              <a:t>Total Sales by Customer Name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
                </a:schemeClr>
              </a:solidFill>
              <a:effectLst>
                <a:outerShdw blurRad="50800" dist="38100" dir="5400000" algn="t" rotWithShape="0">
                  <a:prstClr val="black">
                    <a:alpha val="4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
                  <a:lumMod val="102%"/>
                  <a:tint val="94%"/>
                </a:schemeClr>
              </a:gs>
              <a:gs pos="50%">
                <a:schemeClr val="accent1">
                  <a:satMod val="110%"/>
                  <a:lumMod val="100%"/>
                  <a:shade val="100%"/>
                </a:schemeClr>
              </a:gs>
              <a:gs pos="100%">
                <a:schemeClr val="accent1">
                  <a:lumMod val="99%"/>
                  <a:satMod val="120%"/>
                  <a:shade val="78%"/>
                </a:schemeClr>
              </a:gs>
            </a:gsLst>
            <a:lin ang="5400000" scaled="0"/>
          </a:gradFill>
          <a:ln>
            <a:noFill/>
          </a:ln>
          <a:effectLst>
            <a:outerShdw blurRad="57150" dist="19050" dir="5400000" algn="ctr" rotWithShape="0">
              <a:srgbClr val="000000">
                <a:alpha val="63%"/>
              </a:srgbClr>
            </a:outerShdw>
          </a:effectLst>
        </c:spPr>
        <c:marker>
          <c:symbol val="diamond"/>
          <c:size val="5"/>
          <c:spPr>
            <a:gradFill rotWithShape="1">
              <a:gsLst>
                <a:gs pos="0%">
                  <a:schemeClr val="accent1">
                    <a:satMod val="103%"/>
                    <a:lumMod val="102%"/>
                    <a:tint val="94%"/>
                  </a:schemeClr>
                </a:gs>
                <a:gs pos="50%">
                  <a:schemeClr val="accent1">
                    <a:satMod val="110%"/>
                    <a:lumMod val="100%"/>
                    <a:shade val="100%"/>
                  </a:schemeClr>
                </a:gs>
                <a:gs pos="100%">
                  <a:schemeClr val="accent1">
                    <a:lumMod val="99%"/>
                    <a:satMod val="120%"/>
                    <a:shade val="78%"/>
                  </a:schemeClr>
                </a:gs>
              </a:gsLst>
              <a:lin ang="5400000" scaled="0"/>
            </a:gradFill>
            <a:ln w="9525">
              <a:solidFill>
                <a:schemeClr val="accent1"/>
              </a:solidFill>
              <a:round/>
            </a:ln>
            <a:effectLst>
              <a:outerShdw blurRad="57150" dist="19050" dir="5400000" algn="ctr" rotWithShape="0">
                <a:srgbClr val="000000">
                  <a:alpha val="63%"/>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PVT_Customer!$B$3</c:f>
              <c:strCache>
                <c:ptCount val="1"/>
                <c:pt idx="0">
                  <c:v>Total</c:v>
                </c:pt>
              </c:strCache>
            </c:strRef>
          </c:tx>
          <c:spPr>
            <a:gradFill rotWithShape="1">
              <a:gsLst>
                <a:gs pos="0%">
                  <a:schemeClr val="accent1">
                    <a:satMod val="103%"/>
                    <a:lumMod val="102%"/>
                    <a:tint val="94%"/>
                  </a:schemeClr>
                </a:gs>
                <a:gs pos="50%">
                  <a:schemeClr val="accent1">
                    <a:satMod val="110%"/>
                    <a:lumMod val="100%"/>
                    <a:shade val="100%"/>
                  </a:schemeClr>
                </a:gs>
                <a:gs pos="100%">
                  <a:schemeClr val="accent1">
                    <a:lumMod val="99%"/>
                    <a:satMod val="120%"/>
                    <a:shade val="78%"/>
                  </a:schemeClr>
                </a:gs>
              </a:gsLst>
              <a:lin ang="5400000" scaled="0"/>
            </a:gradFill>
            <a:ln>
              <a:noFill/>
            </a:ln>
            <a:effectLst>
              <a:outerShdw blurRad="57150" dist="19050" dir="5400000" algn="ctr" rotWithShape="0">
                <a:srgbClr val="000000">
                  <a:alpha val="63%"/>
                </a:srgbClr>
              </a:outerShdw>
            </a:effectLst>
          </c:spPr>
          <c:invertIfNegative val="0"/>
          <c:cat>
            <c:strRef>
              <c:f>PVT_Customer!$A$4:$A$14</c:f>
              <c:strCache>
                <c:ptCount val="10"/>
                <c:pt idx="0">
                  <c:v>Olivia Wilson</c:v>
                </c:pt>
                <c:pt idx="1">
                  <c:v>Jane Smith</c:v>
                </c:pt>
                <c:pt idx="2">
                  <c:v>Emma Clark</c:v>
                </c:pt>
                <c:pt idx="3">
                  <c:v>John Doe</c:v>
                </c:pt>
                <c:pt idx="4">
                  <c:v>Emily Johnson</c:v>
                </c:pt>
                <c:pt idx="5">
                  <c:v>David Lee</c:v>
                </c:pt>
                <c:pt idx="6">
                  <c:v>Michael Brown</c:v>
                </c:pt>
                <c:pt idx="7">
                  <c:v>Daniel Harris</c:v>
                </c:pt>
                <c:pt idx="8">
                  <c:v>Chris White</c:v>
                </c:pt>
                <c:pt idx="9">
                  <c:v>Sophia Miller</c:v>
                </c:pt>
              </c:strCache>
            </c:strRef>
          </c:cat>
          <c:val>
            <c:numRef>
              <c:f>PVT_Customer!$B$4:$B$14</c:f>
              <c:numCache>
                <c:formatCode>General</c:formatCode>
                <c:ptCount val="10"/>
                <c:pt idx="0">
                  <c:v>36170</c:v>
                </c:pt>
                <c:pt idx="1">
                  <c:v>31185</c:v>
                </c:pt>
                <c:pt idx="2">
                  <c:v>29700</c:v>
                </c:pt>
                <c:pt idx="3">
                  <c:v>26870</c:v>
                </c:pt>
                <c:pt idx="4">
                  <c:v>23475</c:v>
                </c:pt>
                <c:pt idx="5">
                  <c:v>22665</c:v>
                </c:pt>
                <c:pt idx="6">
                  <c:v>22655</c:v>
                </c:pt>
                <c:pt idx="7">
                  <c:v>18945</c:v>
                </c:pt>
                <c:pt idx="8">
                  <c:v>18885</c:v>
                </c:pt>
                <c:pt idx="9">
                  <c:v>13295</c:v>
                </c:pt>
              </c:numCache>
            </c:numRef>
          </c:val>
          <c:extLst>
            <c:ext xmlns:c16="http://schemas.microsoft.com/office/drawing/2014/chart" uri="{C3380CC4-5D6E-409C-BE32-E72D297353CC}">
              <c16:uniqueId val="{00000000-97BC-4E8D-85F9-B27007B16903}"/>
            </c:ext>
          </c:extLst>
        </c:ser>
        <c:dLbls>
          <c:showLegendKey val="0"/>
          <c:showVal val="0"/>
          <c:showCatName val="0"/>
          <c:showSerName val="0"/>
          <c:showPercent val="0"/>
          <c:showBubbleSize val="0"/>
        </c:dLbls>
        <c:gapWidth val="115"/>
        <c:overlap val="-20"/>
        <c:axId val="1174481103"/>
        <c:axId val="1174481935"/>
      </c:barChart>
      <c:catAx>
        <c:axId val="1174481103"/>
        <c:scaling>
          <c:orientation val="minMax"/>
        </c:scaling>
        <c:delete val="0"/>
        <c:axPos val="l"/>
        <c:title>
          <c:tx>
            <c:rich>
              <a:bodyPr rot="-5400000" spcFirstLastPara="1" vertOverflow="ellipsis" vert="horz" wrap="square" anchor="ctr" anchorCtr="1"/>
              <a:lstStyle/>
              <a:p>
                <a:pPr>
                  <a:defRPr sz="900" b="1" i="0" u="none" strike="noStrike" kern="1200" cap="all" baseline="0%">
                    <a:solidFill>
                      <a:schemeClr val="lt1">
                        <a:lumMod val="85%"/>
                      </a:schemeClr>
                    </a:solidFill>
                    <a:latin typeface="+mn-lt"/>
                    <a:ea typeface="+mn-ea"/>
                    <a:cs typeface="+mn-cs"/>
                  </a:defRPr>
                </a:pPr>
                <a:r>
                  <a:rPr lang="en-IN"/>
                  <a:t>customer name</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
                <a:alpha val="54%"/>
              </a:schemeClr>
            </a:solidFill>
            <a:round/>
          </a:ln>
          <a:effectLst/>
        </c:spPr>
        <c:txPr>
          <a:bodyPr rot="-60000000" spcFirstLastPara="1" vertOverflow="ellipsis" vert="horz" wrap="square" anchor="ctr" anchorCtr="1"/>
          <a:lstStyle/>
          <a:p>
            <a:pPr>
              <a:defRPr sz="900" b="0" i="0" u="none" strike="noStrike" kern="1200" baseline="0%">
                <a:solidFill>
                  <a:schemeClr val="lt1">
                    <a:lumMod val="85%"/>
                  </a:schemeClr>
                </a:solidFill>
                <a:latin typeface="+mn-lt"/>
                <a:ea typeface="+mn-ea"/>
                <a:cs typeface="+mn-cs"/>
              </a:defRPr>
            </a:pPr>
            <a:endParaRPr lang="en-US"/>
          </a:p>
        </c:txPr>
        <c:crossAx val="1174481935"/>
        <c:crosses val="autoZero"/>
        <c:auto val="1"/>
        <c:lblAlgn val="ctr"/>
        <c:lblOffset val="100"/>
        <c:noMultiLvlLbl val="0"/>
      </c:catAx>
      <c:valAx>
        <c:axId val="1174481935"/>
        <c:scaling>
          <c:orientation val="minMax"/>
        </c:scaling>
        <c:delete val="0"/>
        <c:axPos val="b"/>
        <c:majorGridlines>
          <c:spPr>
            <a:ln w="9525" cap="flat" cmpd="sng" algn="ctr">
              <a:solidFill>
                <a:schemeClr val="lt1">
                  <a:lumMod val="95%"/>
                  <a:alpha val="10%"/>
                </a:schemeClr>
              </a:solidFill>
              <a:round/>
            </a:ln>
            <a:effectLst/>
          </c:spPr>
        </c:majorGridlines>
        <c:title>
          <c:tx>
            <c:rich>
              <a:bodyPr rot="0" spcFirstLastPara="1" vertOverflow="ellipsis" vert="horz" wrap="square" anchor="ctr" anchorCtr="1"/>
              <a:lstStyle/>
              <a:p>
                <a:pPr>
                  <a:defRPr sz="900" b="1" i="0" u="none" strike="noStrike" kern="1200" cap="all" baseline="0%">
                    <a:solidFill>
                      <a:schemeClr val="lt1">
                        <a:lumMod val="85%"/>
                      </a:schemeClr>
                    </a:solidFill>
                    <a:latin typeface="+mn-lt"/>
                    <a:ea typeface="+mn-ea"/>
                    <a:cs typeface="+mn-cs"/>
                  </a:defRPr>
                </a:pPr>
                <a:r>
                  <a:rPr lang="en-IN"/>
                  <a:t>Sales</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
                  </a:schemeClr>
                </a:solidFill>
                <a:latin typeface="+mn-lt"/>
                <a:ea typeface="+mn-ea"/>
                <a:cs typeface="+mn-cs"/>
              </a:defRPr>
            </a:pPr>
            <a:endParaRPr lang="en-US"/>
          </a:p>
        </c:txPr>
        <c:crossAx val="117448110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
            <a:lumOff val="35%"/>
          </a:schemeClr>
        </a:gs>
        <a:gs pos="100%">
          <a:schemeClr val="dk1">
            <a:lumMod val="85%"/>
            <a:lumOff val="15%"/>
          </a:schemeClr>
        </a:gs>
      </a:gsLst>
      <a:path path="circle">
        <a:fillToRect l="50%" t="50%" r="50%" b="5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purl.oclc.org/ooxml/drawingml/chart" xmlns:a="http://purl.oclc.org/ooxml/drawingml/main" xmlns:r="http://purl.oclc.org/ooxml/officeDocument/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[Amazon_Sales_Performance_Analysis.xlsx]PVT_Payment!PivotTable5</c:name>
    <c:fmtId val="3"/>
  </c:pivotSource>
  <c:chart>
    <c:title>
      <c:tx>
        <c:rich>
          <a:bodyPr rot="0" spcFirstLastPara="1" vertOverflow="ellipsis" vert="horz" wrap="square" anchor="ctr" anchorCtr="1"/>
          <a:lstStyle/>
          <a:p>
            <a:pPr>
              <a:defRPr sz="1680" b="1" i="0" u="none" strike="noStrike" kern="1200" spc="100" baseline="0%">
                <a:solidFill>
                  <a:schemeClr val="lt1">
                    <a:lumMod val="95%"/>
                  </a:schemeClr>
                </a:solidFill>
                <a:effectLst>
                  <a:outerShdw blurRad="50800" dist="38100" dir="5400000" algn="t" rotWithShape="0">
                    <a:prstClr val="black">
                      <a:alpha val="40%"/>
                    </a:prstClr>
                  </a:outerShdw>
                </a:effectLst>
                <a:latin typeface="+mn-lt"/>
                <a:ea typeface="+mn-ea"/>
                <a:cs typeface="+mn-cs"/>
              </a:defRPr>
            </a:pPr>
            <a:r>
              <a:rPr lang="en-US"/>
              <a:t>Total Sales by Payment Method</a:t>
            </a:r>
          </a:p>
        </c:rich>
      </c:tx>
      <c:overlay val="0"/>
      <c:spPr>
        <a:noFill/>
        <a:ln>
          <a:noFill/>
        </a:ln>
        <a:effectLst/>
      </c:spPr>
      <c:txPr>
        <a:bodyPr rot="0" spcFirstLastPara="1" vertOverflow="ellipsis" vert="horz" wrap="square" anchor="ctr" anchorCtr="1"/>
        <a:lstStyle/>
        <a:p>
          <a:pPr>
            <a:defRPr sz="1680" b="1" i="0" u="none" strike="noStrike" kern="1200" spc="100" baseline="0%">
              <a:solidFill>
                <a:schemeClr val="lt1">
                  <a:lumMod val="95%"/>
                </a:schemeClr>
              </a:solidFill>
              <a:effectLst>
                <a:outerShdw blurRad="50800" dist="38100" dir="5400000" algn="t" rotWithShape="0">
                  <a:prstClr val="black">
                    <a:alpha val="4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spPr>
          <a:gradFill rotWithShape="1">
            <a:gsLst>
              <a:gs pos="0%">
                <a:schemeClr val="accent1">
                  <a:satMod val="103%"/>
                  <a:lumMod val="102%"/>
                  <a:tint val="94%"/>
                </a:schemeClr>
              </a:gs>
              <a:gs pos="50%">
                <a:schemeClr val="accent1">
                  <a:satMod val="110%"/>
                  <a:lumMod val="100%"/>
                  <a:shade val="100%"/>
                </a:schemeClr>
              </a:gs>
              <a:gs pos="100%">
                <a:schemeClr val="accent1">
                  <a:lumMod val="99%"/>
                  <a:satMod val="120%"/>
                  <a:shade val="78%"/>
                </a:schemeClr>
              </a:gs>
            </a:gsLst>
            <a:lin ang="5400000" scaled="0"/>
          </a:gradFill>
          <a:ln>
            <a:noFill/>
          </a:ln>
          <a:effectLst>
            <a:outerShdw blurRad="57150" dist="19050" dir="5400000" algn="ctr" rotWithShape="0">
              <a:srgbClr val="000000">
                <a:alpha val="63%"/>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lt1">
                      <a:lumMod val="85%"/>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
                  <a:lumMod val="102%"/>
                  <a:tint val="94%"/>
                </a:schemeClr>
              </a:gs>
              <a:gs pos="50%">
                <a:schemeClr val="accent1">
                  <a:satMod val="110%"/>
                  <a:lumMod val="100%"/>
                  <a:shade val="100%"/>
                </a:schemeClr>
              </a:gs>
              <a:gs pos="100%">
                <a:schemeClr val="accent1">
                  <a:lumMod val="99%"/>
                  <a:satMod val="120%"/>
                  <a:shade val="78%"/>
                </a:schemeClr>
              </a:gs>
            </a:gsLst>
            <a:lin ang="5400000" scaled="0"/>
          </a:gradFill>
          <a:ln>
            <a:noFill/>
          </a:ln>
          <a:effectLst>
            <a:outerShdw blurRad="57150" dist="19050" dir="5400000" algn="ctr" rotWithShape="0">
              <a:srgbClr val="000000">
                <a:alpha val="63%"/>
              </a:srgbClr>
            </a:outerShdw>
          </a:effectLst>
        </c:spPr>
      </c:pivotFmt>
      <c:pivotFmt>
        <c:idx val="9"/>
        <c:spPr>
          <a:gradFill rotWithShape="1">
            <a:gsLst>
              <a:gs pos="0%">
                <a:schemeClr val="accent2">
                  <a:satMod val="103%"/>
                  <a:lumMod val="102%"/>
                  <a:tint val="94%"/>
                </a:schemeClr>
              </a:gs>
              <a:gs pos="50%">
                <a:schemeClr val="accent2">
                  <a:satMod val="110%"/>
                  <a:lumMod val="100%"/>
                  <a:shade val="100%"/>
                </a:schemeClr>
              </a:gs>
              <a:gs pos="100%">
                <a:schemeClr val="accent2">
                  <a:lumMod val="99%"/>
                  <a:satMod val="120%"/>
                  <a:shade val="78%"/>
                </a:schemeClr>
              </a:gs>
            </a:gsLst>
            <a:lin ang="5400000" scaled="0"/>
          </a:gradFill>
          <a:ln>
            <a:noFill/>
          </a:ln>
          <a:effectLst>
            <a:outerShdw blurRad="57150" dist="19050" dir="5400000" algn="ctr" rotWithShape="0">
              <a:srgbClr val="000000">
                <a:alpha val="63%"/>
              </a:srgbClr>
            </a:outerShdw>
          </a:effectLst>
        </c:spPr>
      </c:pivotFmt>
      <c:pivotFmt>
        <c:idx val="10"/>
        <c:spPr>
          <a:gradFill rotWithShape="1">
            <a:gsLst>
              <a:gs pos="0%">
                <a:schemeClr val="accent3">
                  <a:satMod val="103%"/>
                  <a:lumMod val="102%"/>
                  <a:tint val="94%"/>
                </a:schemeClr>
              </a:gs>
              <a:gs pos="50%">
                <a:schemeClr val="accent3">
                  <a:satMod val="110%"/>
                  <a:lumMod val="100%"/>
                  <a:shade val="100%"/>
                </a:schemeClr>
              </a:gs>
              <a:gs pos="100%">
                <a:schemeClr val="accent3">
                  <a:lumMod val="99%"/>
                  <a:satMod val="120%"/>
                  <a:shade val="78%"/>
                </a:schemeClr>
              </a:gs>
            </a:gsLst>
            <a:lin ang="5400000" scaled="0"/>
          </a:gradFill>
          <a:ln>
            <a:noFill/>
          </a:ln>
          <a:effectLst>
            <a:outerShdw blurRad="57150" dist="19050" dir="5400000" algn="ctr" rotWithShape="0">
              <a:srgbClr val="000000">
                <a:alpha val="63%"/>
              </a:srgbClr>
            </a:outerShdw>
          </a:effectLst>
        </c:spPr>
      </c:pivotFmt>
      <c:pivotFmt>
        <c:idx val="11"/>
        <c:spPr>
          <a:gradFill rotWithShape="1">
            <a:gsLst>
              <a:gs pos="0%">
                <a:schemeClr val="accent4">
                  <a:satMod val="103%"/>
                  <a:lumMod val="102%"/>
                  <a:tint val="94%"/>
                </a:schemeClr>
              </a:gs>
              <a:gs pos="50%">
                <a:schemeClr val="accent4">
                  <a:satMod val="110%"/>
                  <a:lumMod val="100%"/>
                  <a:shade val="100%"/>
                </a:schemeClr>
              </a:gs>
              <a:gs pos="100%">
                <a:schemeClr val="accent4">
                  <a:lumMod val="99%"/>
                  <a:satMod val="120%"/>
                  <a:shade val="78%"/>
                </a:schemeClr>
              </a:gs>
            </a:gsLst>
            <a:lin ang="5400000" scaled="0"/>
          </a:gradFill>
          <a:ln>
            <a:noFill/>
          </a:ln>
          <a:effectLst>
            <a:outerShdw blurRad="57150" dist="19050" dir="5400000" algn="ctr" rotWithShape="0">
              <a:srgbClr val="000000">
                <a:alpha val="63%"/>
              </a:srgbClr>
            </a:outerShdw>
          </a:effectLst>
        </c:spPr>
      </c:pivotFmt>
      <c:pivotFmt>
        <c:idx val="12"/>
        <c:spPr>
          <a:gradFill rotWithShape="1">
            <a:gsLst>
              <a:gs pos="0%">
                <a:schemeClr val="accent5">
                  <a:satMod val="103%"/>
                  <a:lumMod val="102%"/>
                  <a:tint val="94%"/>
                </a:schemeClr>
              </a:gs>
              <a:gs pos="50%">
                <a:schemeClr val="accent5">
                  <a:satMod val="110%"/>
                  <a:lumMod val="100%"/>
                  <a:shade val="100%"/>
                </a:schemeClr>
              </a:gs>
              <a:gs pos="100%">
                <a:schemeClr val="accent5">
                  <a:lumMod val="99%"/>
                  <a:satMod val="120%"/>
                  <a:shade val="78%"/>
                </a:schemeClr>
              </a:gs>
            </a:gsLst>
            <a:lin ang="5400000" scaled="0"/>
          </a:gradFill>
          <a:ln>
            <a:noFill/>
          </a:ln>
          <a:effectLst>
            <a:outerShdw blurRad="57150" dist="19050" dir="5400000" algn="ctr" rotWithShape="0">
              <a:srgbClr val="000000">
                <a:alpha val="63%"/>
              </a:srgbClr>
            </a:outerShdw>
          </a:effectLst>
        </c:spPr>
      </c:pivotFmt>
    </c:pivotFmts>
    <c:plotArea>
      <c:layout/>
      <c:pieChart>
        <c:varyColors val="1"/>
        <c:ser>
          <c:idx val="0"/>
          <c:order val="0"/>
          <c:tx>
            <c:strRef>
              <c:f>PVT_Payment!$B$3</c:f>
              <c:strCache>
                <c:ptCount val="1"/>
                <c:pt idx="0">
                  <c:v>Total</c:v>
                </c:pt>
              </c:strCache>
            </c:strRef>
          </c:tx>
          <c:dPt>
            <c:idx val="0"/>
            <c:bubble3D val="0"/>
            <c:spPr>
              <a:gradFill rotWithShape="1">
                <a:gsLst>
                  <a:gs pos="0%">
                    <a:schemeClr val="accent1">
                      <a:satMod val="103%"/>
                      <a:lumMod val="102%"/>
                      <a:tint val="94%"/>
                    </a:schemeClr>
                  </a:gs>
                  <a:gs pos="50%">
                    <a:schemeClr val="accent1">
                      <a:satMod val="110%"/>
                      <a:lumMod val="100%"/>
                      <a:shade val="100%"/>
                    </a:schemeClr>
                  </a:gs>
                  <a:gs pos="100%">
                    <a:schemeClr val="accent1">
                      <a:lumMod val="99%"/>
                      <a:satMod val="120%"/>
                      <a:shade val="78%"/>
                    </a:schemeClr>
                  </a:gs>
                </a:gsLst>
                <a:lin ang="5400000" scaled="0"/>
              </a:gradFill>
              <a:ln>
                <a:noFill/>
              </a:ln>
              <a:effectLst>
                <a:outerShdw blurRad="57150" dist="19050" dir="5400000" algn="ctr" rotWithShape="0">
                  <a:srgbClr val="000000">
                    <a:alpha val="63%"/>
                  </a:srgbClr>
                </a:outerShdw>
              </a:effectLst>
            </c:spPr>
            <c:extLst>
              <c:ext xmlns:c16="http://schemas.microsoft.com/office/drawing/2014/chart" uri="{C3380CC4-5D6E-409C-BE32-E72D297353CC}">
                <c16:uniqueId val="{00000001-E645-4F6A-ABD3-A7D7DB80022D}"/>
              </c:ext>
            </c:extLst>
          </c:dPt>
          <c:dPt>
            <c:idx val="1"/>
            <c:bubble3D val="0"/>
            <c:spPr>
              <a:gradFill rotWithShape="1">
                <a:gsLst>
                  <a:gs pos="0%">
                    <a:schemeClr val="accent2">
                      <a:satMod val="103%"/>
                      <a:lumMod val="102%"/>
                      <a:tint val="94%"/>
                    </a:schemeClr>
                  </a:gs>
                  <a:gs pos="50%">
                    <a:schemeClr val="accent2">
                      <a:satMod val="110%"/>
                      <a:lumMod val="100%"/>
                      <a:shade val="100%"/>
                    </a:schemeClr>
                  </a:gs>
                  <a:gs pos="100%">
                    <a:schemeClr val="accent2">
                      <a:lumMod val="99%"/>
                      <a:satMod val="120%"/>
                      <a:shade val="78%"/>
                    </a:schemeClr>
                  </a:gs>
                </a:gsLst>
                <a:lin ang="5400000" scaled="0"/>
              </a:gradFill>
              <a:ln>
                <a:noFill/>
              </a:ln>
              <a:effectLst>
                <a:outerShdw blurRad="57150" dist="19050" dir="5400000" algn="ctr" rotWithShape="0">
                  <a:srgbClr val="000000">
                    <a:alpha val="63%"/>
                  </a:srgbClr>
                </a:outerShdw>
              </a:effectLst>
            </c:spPr>
            <c:extLst>
              <c:ext xmlns:c16="http://schemas.microsoft.com/office/drawing/2014/chart" uri="{C3380CC4-5D6E-409C-BE32-E72D297353CC}">
                <c16:uniqueId val="{00000003-E645-4F6A-ABD3-A7D7DB80022D}"/>
              </c:ext>
            </c:extLst>
          </c:dPt>
          <c:dPt>
            <c:idx val="2"/>
            <c:bubble3D val="0"/>
            <c:spPr>
              <a:gradFill rotWithShape="1">
                <a:gsLst>
                  <a:gs pos="0%">
                    <a:schemeClr val="accent3">
                      <a:satMod val="103%"/>
                      <a:lumMod val="102%"/>
                      <a:tint val="94%"/>
                    </a:schemeClr>
                  </a:gs>
                  <a:gs pos="50%">
                    <a:schemeClr val="accent3">
                      <a:satMod val="110%"/>
                      <a:lumMod val="100%"/>
                      <a:shade val="100%"/>
                    </a:schemeClr>
                  </a:gs>
                  <a:gs pos="100%">
                    <a:schemeClr val="accent3">
                      <a:lumMod val="99%"/>
                      <a:satMod val="120%"/>
                      <a:shade val="78%"/>
                    </a:schemeClr>
                  </a:gs>
                </a:gsLst>
                <a:lin ang="5400000" scaled="0"/>
              </a:gradFill>
              <a:ln>
                <a:noFill/>
              </a:ln>
              <a:effectLst>
                <a:outerShdw blurRad="57150" dist="19050" dir="5400000" algn="ctr" rotWithShape="0">
                  <a:srgbClr val="000000">
                    <a:alpha val="63%"/>
                  </a:srgbClr>
                </a:outerShdw>
              </a:effectLst>
            </c:spPr>
            <c:extLst>
              <c:ext xmlns:c16="http://schemas.microsoft.com/office/drawing/2014/chart" uri="{C3380CC4-5D6E-409C-BE32-E72D297353CC}">
                <c16:uniqueId val="{00000005-E645-4F6A-ABD3-A7D7DB80022D}"/>
              </c:ext>
            </c:extLst>
          </c:dPt>
          <c:dPt>
            <c:idx val="3"/>
            <c:bubble3D val="0"/>
            <c:spPr>
              <a:gradFill rotWithShape="1">
                <a:gsLst>
                  <a:gs pos="0%">
                    <a:schemeClr val="accent4">
                      <a:satMod val="103%"/>
                      <a:lumMod val="102%"/>
                      <a:tint val="94%"/>
                    </a:schemeClr>
                  </a:gs>
                  <a:gs pos="50%">
                    <a:schemeClr val="accent4">
                      <a:satMod val="110%"/>
                      <a:lumMod val="100%"/>
                      <a:shade val="100%"/>
                    </a:schemeClr>
                  </a:gs>
                  <a:gs pos="100%">
                    <a:schemeClr val="accent4">
                      <a:lumMod val="99%"/>
                      <a:satMod val="120%"/>
                      <a:shade val="78%"/>
                    </a:schemeClr>
                  </a:gs>
                </a:gsLst>
                <a:lin ang="5400000" scaled="0"/>
              </a:gradFill>
              <a:ln>
                <a:noFill/>
              </a:ln>
              <a:effectLst>
                <a:outerShdw blurRad="57150" dist="19050" dir="5400000" algn="ctr" rotWithShape="0">
                  <a:srgbClr val="000000">
                    <a:alpha val="63%"/>
                  </a:srgbClr>
                </a:outerShdw>
              </a:effectLst>
            </c:spPr>
            <c:extLst>
              <c:ext xmlns:c16="http://schemas.microsoft.com/office/drawing/2014/chart" uri="{C3380CC4-5D6E-409C-BE32-E72D297353CC}">
                <c16:uniqueId val="{00000007-E645-4F6A-ABD3-A7D7DB80022D}"/>
              </c:ext>
            </c:extLst>
          </c:dPt>
          <c:dPt>
            <c:idx val="4"/>
            <c:bubble3D val="0"/>
            <c:spPr>
              <a:gradFill rotWithShape="1">
                <a:gsLst>
                  <a:gs pos="0%">
                    <a:schemeClr val="accent5">
                      <a:satMod val="103%"/>
                      <a:lumMod val="102%"/>
                      <a:tint val="94%"/>
                    </a:schemeClr>
                  </a:gs>
                  <a:gs pos="50%">
                    <a:schemeClr val="accent5">
                      <a:satMod val="110%"/>
                      <a:lumMod val="100%"/>
                      <a:shade val="100%"/>
                    </a:schemeClr>
                  </a:gs>
                  <a:gs pos="100%">
                    <a:schemeClr val="accent5">
                      <a:lumMod val="99%"/>
                      <a:satMod val="120%"/>
                      <a:shade val="78%"/>
                    </a:schemeClr>
                  </a:gs>
                </a:gsLst>
                <a:lin ang="5400000" scaled="0"/>
              </a:gradFill>
              <a:ln>
                <a:noFill/>
              </a:ln>
              <a:effectLst>
                <a:outerShdw blurRad="57150" dist="19050" dir="5400000" algn="ctr" rotWithShape="0">
                  <a:srgbClr val="000000">
                    <a:alpha val="63%"/>
                  </a:srgbClr>
                </a:outerShdw>
              </a:effectLst>
            </c:spPr>
            <c:extLst>
              <c:ext xmlns:c16="http://schemas.microsoft.com/office/drawing/2014/chart" uri="{C3380CC4-5D6E-409C-BE32-E72D297353CC}">
                <c16:uniqueId val="{00000009-E645-4F6A-ABD3-A7D7DB80022D}"/>
              </c:ext>
            </c:extLst>
          </c:dPt>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lt1">
                        <a:lumMod val="85%"/>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a:solidFill>
                    <a:schemeClr val="lt1">
                      <a:lumMod val="95%"/>
                      <a:alpha val="54%"/>
                    </a:schemeClr>
                  </a:solidFill>
                </a:ln>
                <a:effectLst/>
              </c:spPr>
            </c:leaderLines>
            <c:extLst>
              <c:ext xmlns:c15="http://schemas.microsoft.com/office/drawing/2012/chart" uri="{CE6537A1-D6FC-4f65-9D91-7224C49458BB}"/>
            </c:extLst>
          </c:dLbls>
          <c:cat>
            <c:strRef>
              <c:f>PVT_Payment!$A$4:$A$9</c:f>
              <c:strCache>
                <c:ptCount val="5"/>
                <c:pt idx="0">
                  <c:v>PayPal</c:v>
                </c:pt>
                <c:pt idx="1">
                  <c:v>Credit Card</c:v>
                </c:pt>
                <c:pt idx="2">
                  <c:v>Gift Card</c:v>
                </c:pt>
                <c:pt idx="3">
                  <c:v>Amazon Pay</c:v>
                </c:pt>
                <c:pt idx="4">
                  <c:v>Debit Card</c:v>
                </c:pt>
              </c:strCache>
            </c:strRef>
          </c:cat>
          <c:val>
            <c:numRef>
              <c:f>PVT_Payment!$B$4:$B$9</c:f>
              <c:numCache>
                <c:formatCode>General</c:formatCode>
                <c:ptCount val="5"/>
                <c:pt idx="0">
                  <c:v>69645</c:v>
                </c:pt>
                <c:pt idx="1">
                  <c:v>61595</c:v>
                </c:pt>
                <c:pt idx="2">
                  <c:v>47955</c:v>
                </c:pt>
                <c:pt idx="3">
                  <c:v>32750</c:v>
                </c:pt>
                <c:pt idx="4">
                  <c:v>31900</c:v>
                </c:pt>
              </c:numCache>
            </c:numRef>
          </c:val>
          <c:extLst>
            <c:ext xmlns:c16="http://schemas.microsoft.com/office/drawing/2014/chart" uri="{C3380CC4-5D6E-409C-BE32-E72D297353CC}">
              <c16:uniqueId val="{0000000A-E645-4F6A-ABD3-A7D7DB80022D}"/>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1400" b="1" i="0" u="none" strike="noStrike" kern="1200" baseline="0%">
              <a:solidFill>
                <a:schemeClr val="lt1">
                  <a:lumMod val="85%"/>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
            <a:lumOff val="35%"/>
          </a:schemeClr>
        </a:gs>
        <a:gs pos="100%">
          <a:schemeClr val="dk1">
            <a:lumMod val="85%"/>
            <a:lumOff val="15%"/>
          </a:schemeClr>
        </a:gs>
      </a:gsLst>
      <a:path path="circle">
        <a:fillToRect l="50%" t="50%" r="50%" b="50%"/>
      </a:path>
      <a:tileRect/>
    </a:gradFill>
    <a:ln>
      <a:noFill/>
    </a:ln>
    <a:effectLst/>
  </c:spPr>
  <c:txPr>
    <a:bodyPr/>
    <a:lstStyle/>
    <a:p>
      <a:pPr>
        <a:defRPr sz="1400"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purl.oclc.org/ooxml/drawingml/chart" xmlns:a="http://purl.oclc.org/ooxml/drawingml/main" xmlns:r="http://purl.oclc.org/ooxml/officeDocument/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[Amazon_Sales_Performance_Analysis.xlsx]PVT_Status!PivotTable6</c:name>
    <c:fmtId val="3"/>
  </c:pivotSource>
  <c:chart>
    <c:title>
      <c:tx>
        <c:rich>
          <a:bodyPr rot="0" spcFirstLastPara="1" vertOverflow="ellipsis" vert="horz" wrap="square" anchor="ctr" anchorCtr="1"/>
          <a:lstStyle/>
          <a:p>
            <a:pPr>
              <a:defRPr sz="1920" b="1" i="0" u="none" strike="noStrike" kern="1200" spc="100" baseline="0%">
                <a:solidFill>
                  <a:schemeClr val="lt1">
                    <a:lumMod val="95%"/>
                  </a:schemeClr>
                </a:solidFill>
                <a:effectLst>
                  <a:outerShdw blurRad="50800" dist="38100" dir="5400000" algn="t" rotWithShape="0">
                    <a:prstClr val="black">
                      <a:alpha val="40%"/>
                    </a:prstClr>
                  </a:outerShdw>
                </a:effectLst>
                <a:latin typeface="+mn-lt"/>
                <a:ea typeface="+mn-ea"/>
                <a:cs typeface="+mn-cs"/>
              </a:defRPr>
            </a:pPr>
            <a:r>
              <a:rPr lang="en-US"/>
              <a:t>Status by Order Id</a:t>
            </a:r>
          </a:p>
        </c:rich>
      </c:tx>
      <c:overlay val="0"/>
      <c:spPr>
        <a:noFill/>
        <a:ln>
          <a:noFill/>
        </a:ln>
        <a:effectLst/>
      </c:spPr>
      <c:txPr>
        <a:bodyPr rot="0" spcFirstLastPara="1" vertOverflow="ellipsis" vert="horz" wrap="square" anchor="ctr" anchorCtr="1"/>
        <a:lstStyle/>
        <a:p>
          <a:pPr>
            <a:defRPr sz="1920" b="1" i="0" u="none" strike="noStrike" kern="1200" spc="100" baseline="0%">
              <a:solidFill>
                <a:schemeClr val="lt1">
                  <a:lumMod val="95%"/>
                </a:schemeClr>
              </a:solidFill>
              <a:effectLst>
                <a:outerShdw blurRad="50800" dist="38100" dir="5400000" algn="t" rotWithShape="0">
                  <a:prstClr val="black">
                    <a:alpha val="4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gradFill rotWithShape="1">
            <a:gsLst>
              <a:gs pos="0%">
                <a:schemeClr val="accent1">
                  <a:satMod val="103%"/>
                  <a:lumMod val="102%"/>
                  <a:tint val="94%"/>
                </a:schemeClr>
              </a:gs>
              <a:gs pos="50%">
                <a:schemeClr val="accent1">
                  <a:satMod val="110%"/>
                  <a:lumMod val="100%"/>
                  <a:shade val="100%"/>
                </a:schemeClr>
              </a:gs>
              <a:gs pos="100%">
                <a:schemeClr val="accent1">
                  <a:lumMod val="99%"/>
                  <a:satMod val="120%"/>
                  <a:shade val="78%"/>
                </a:schemeClr>
              </a:gs>
            </a:gsLst>
            <a:lin ang="5400000" scaled="0"/>
          </a:gradFill>
          <a:ln>
            <a:noFill/>
          </a:ln>
          <a:effectLst>
            <a:outerShdw blurRad="57150" dist="19050" dir="5400000" algn="ctr" rotWithShape="0">
              <a:srgbClr val="000000">
                <a:alpha val="63%"/>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lt1">
                      <a:lumMod val="85%"/>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
                  <a:lumMod val="102%"/>
                  <a:tint val="94%"/>
                </a:schemeClr>
              </a:gs>
              <a:gs pos="50%">
                <a:schemeClr val="accent1">
                  <a:satMod val="110%"/>
                  <a:lumMod val="100%"/>
                  <a:shade val="100%"/>
                </a:schemeClr>
              </a:gs>
              <a:gs pos="100%">
                <a:schemeClr val="accent1">
                  <a:lumMod val="99%"/>
                  <a:satMod val="120%"/>
                  <a:shade val="78%"/>
                </a:schemeClr>
              </a:gs>
            </a:gsLst>
            <a:lin ang="5400000" scaled="0"/>
          </a:gradFill>
          <a:ln>
            <a:noFill/>
          </a:ln>
          <a:effectLst>
            <a:outerShdw blurRad="57150" dist="19050" dir="5400000" algn="ctr" rotWithShape="0">
              <a:srgbClr val="000000">
                <a:alpha val="63%"/>
              </a:srgbClr>
            </a:outerShdw>
          </a:effectLst>
        </c:spPr>
      </c:pivotFmt>
      <c:pivotFmt>
        <c:idx val="7"/>
        <c:spPr>
          <a:gradFill rotWithShape="1">
            <a:gsLst>
              <a:gs pos="0%">
                <a:schemeClr val="accent2">
                  <a:satMod val="103%"/>
                  <a:lumMod val="102%"/>
                  <a:tint val="94%"/>
                </a:schemeClr>
              </a:gs>
              <a:gs pos="50%">
                <a:schemeClr val="accent2">
                  <a:satMod val="110%"/>
                  <a:lumMod val="100%"/>
                  <a:shade val="100%"/>
                </a:schemeClr>
              </a:gs>
              <a:gs pos="100%">
                <a:schemeClr val="accent2">
                  <a:lumMod val="99%"/>
                  <a:satMod val="120%"/>
                  <a:shade val="78%"/>
                </a:schemeClr>
              </a:gs>
            </a:gsLst>
            <a:lin ang="5400000" scaled="0"/>
          </a:gradFill>
          <a:ln>
            <a:noFill/>
          </a:ln>
          <a:effectLst>
            <a:outerShdw blurRad="57150" dist="19050" dir="5400000" algn="ctr" rotWithShape="0">
              <a:srgbClr val="000000">
                <a:alpha val="63%"/>
              </a:srgbClr>
            </a:outerShdw>
          </a:effectLst>
        </c:spPr>
      </c:pivotFmt>
      <c:pivotFmt>
        <c:idx val="8"/>
        <c:spPr>
          <a:gradFill rotWithShape="1">
            <a:gsLst>
              <a:gs pos="0%">
                <a:schemeClr val="accent3">
                  <a:satMod val="103%"/>
                  <a:lumMod val="102%"/>
                  <a:tint val="94%"/>
                </a:schemeClr>
              </a:gs>
              <a:gs pos="50%">
                <a:schemeClr val="accent3">
                  <a:satMod val="110%"/>
                  <a:lumMod val="100%"/>
                  <a:shade val="100%"/>
                </a:schemeClr>
              </a:gs>
              <a:gs pos="100%">
                <a:schemeClr val="accent3">
                  <a:lumMod val="99%"/>
                  <a:satMod val="120%"/>
                  <a:shade val="78%"/>
                </a:schemeClr>
              </a:gs>
            </a:gsLst>
            <a:lin ang="5400000" scaled="0"/>
          </a:gradFill>
          <a:ln>
            <a:noFill/>
          </a:ln>
          <a:effectLst>
            <a:outerShdw blurRad="57150" dist="19050" dir="5400000" algn="ctr" rotWithShape="0">
              <a:srgbClr val="000000">
                <a:alpha val="63%"/>
              </a:srgbClr>
            </a:outerShdw>
          </a:effectLst>
        </c:spPr>
      </c:pivotFmt>
    </c:pivotFmts>
    <c:plotArea>
      <c:layout/>
      <c:pieChart>
        <c:varyColors val="1"/>
        <c:ser>
          <c:idx val="0"/>
          <c:order val="0"/>
          <c:tx>
            <c:strRef>
              <c:f>PVT_Status!$B$3</c:f>
              <c:strCache>
                <c:ptCount val="1"/>
                <c:pt idx="0">
                  <c:v>Total</c:v>
                </c:pt>
              </c:strCache>
            </c:strRef>
          </c:tx>
          <c:dPt>
            <c:idx val="0"/>
            <c:bubble3D val="0"/>
            <c:spPr>
              <a:gradFill rotWithShape="1">
                <a:gsLst>
                  <a:gs pos="0%">
                    <a:schemeClr val="accent1">
                      <a:satMod val="103%"/>
                      <a:lumMod val="102%"/>
                      <a:tint val="94%"/>
                    </a:schemeClr>
                  </a:gs>
                  <a:gs pos="50%">
                    <a:schemeClr val="accent1">
                      <a:satMod val="110%"/>
                      <a:lumMod val="100%"/>
                      <a:shade val="100%"/>
                    </a:schemeClr>
                  </a:gs>
                  <a:gs pos="100%">
                    <a:schemeClr val="accent1">
                      <a:lumMod val="99%"/>
                      <a:satMod val="120%"/>
                      <a:shade val="78%"/>
                    </a:schemeClr>
                  </a:gs>
                </a:gsLst>
                <a:lin ang="5400000" scaled="0"/>
              </a:gradFill>
              <a:ln>
                <a:noFill/>
              </a:ln>
              <a:effectLst>
                <a:outerShdw blurRad="57150" dist="19050" dir="5400000" algn="ctr" rotWithShape="0">
                  <a:srgbClr val="000000">
                    <a:alpha val="63%"/>
                  </a:srgbClr>
                </a:outerShdw>
              </a:effectLst>
            </c:spPr>
            <c:extLst>
              <c:ext xmlns:c16="http://schemas.microsoft.com/office/drawing/2014/chart" uri="{C3380CC4-5D6E-409C-BE32-E72D297353CC}">
                <c16:uniqueId val="{00000001-3215-4208-9FAE-F782266D686C}"/>
              </c:ext>
            </c:extLst>
          </c:dPt>
          <c:dPt>
            <c:idx val="1"/>
            <c:bubble3D val="0"/>
            <c:spPr>
              <a:gradFill rotWithShape="1">
                <a:gsLst>
                  <a:gs pos="0%">
                    <a:schemeClr val="accent2">
                      <a:satMod val="103%"/>
                      <a:lumMod val="102%"/>
                      <a:tint val="94%"/>
                    </a:schemeClr>
                  </a:gs>
                  <a:gs pos="50%">
                    <a:schemeClr val="accent2">
                      <a:satMod val="110%"/>
                      <a:lumMod val="100%"/>
                      <a:shade val="100%"/>
                    </a:schemeClr>
                  </a:gs>
                  <a:gs pos="100%">
                    <a:schemeClr val="accent2">
                      <a:lumMod val="99%"/>
                      <a:satMod val="120%"/>
                      <a:shade val="78%"/>
                    </a:schemeClr>
                  </a:gs>
                </a:gsLst>
                <a:lin ang="5400000" scaled="0"/>
              </a:gradFill>
              <a:ln>
                <a:noFill/>
              </a:ln>
              <a:effectLst>
                <a:outerShdw blurRad="57150" dist="19050" dir="5400000" algn="ctr" rotWithShape="0">
                  <a:srgbClr val="000000">
                    <a:alpha val="63%"/>
                  </a:srgbClr>
                </a:outerShdw>
              </a:effectLst>
            </c:spPr>
            <c:extLst>
              <c:ext xmlns:c16="http://schemas.microsoft.com/office/drawing/2014/chart" uri="{C3380CC4-5D6E-409C-BE32-E72D297353CC}">
                <c16:uniqueId val="{00000003-3215-4208-9FAE-F782266D686C}"/>
              </c:ext>
            </c:extLst>
          </c:dPt>
          <c:dPt>
            <c:idx val="2"/>
            <c:bubble3D val="0"/>
            <c:spPr>
              <a:gradFill rotWithShape="1">
                <a:gsLst>
                  <a:gs pos="0%">
                    <a:schemeClr val="accent3">
                      <a:satMod val="103%"/>
                      <a:lumMod val="102%"/>
                      <a:tint val="94%"/>
                    </a:schemeClr>
                  </a:gs>
                  <a:gs pos="50%">
                    <a:schemeClr val="accent3">
                      <a:satMod val="110%"/>
                      <a:lumMod val="100%"/>
                      <a:shade val="100%"/>
                    </a:schemeClr>
                  </a:gs>
                  <a:gs pos="100%">
                    <a:schemeClr val="accent3">
                      <a:lumMod val="99%"/>
                      <a:satMod val="120%"/>
                      <a:shade val="78%"/>
                    </a:schemeClr>
                  </a:gs>
                </a:gsLst>
                <a:lin ang="5400000" scaled="0"/>
              </a:gradFill>
              <a:ln>
                <a:noFill/>
              </a:ln>
              <a:effectLst>
                <a:outerShdw blurRad="57150" dist="19050" dir="5400000" algn="ctr" rotWithShape="0">
                  <a:srgbClr val="000000">
                    <a:alpha val="63%"/>
                  </a:srgbClr>
                </a:outerShdw>
              </a:effectLst>
            </c:spPr>
            <c:extLst>
              <c:ext xmlns:c16="http://schemas.microsoft.com/office/drawing/2014/chart" uri="{C3380CC4-5D6E-409C-BE32-E72D297353CC}">
                <c16:uniqueId val="{00000005-3215-4208-9FAE-F782266D686C}"/>
              </c:ext>
            </c:extLst>
          </c:dPt>
          <c:dLbls>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lt1">
                        <a:lumMod val="85%"/>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a:solidFill>
                    <a:schemeClr val="lt1">
                      <a:lumMod val="95%"/>
                      <a:alpha val="54%"/>
                    </a:schemeClr>
                  </a:solidFill>
                </a:ln>
                <a:effectLst/>
              </c:spPr>
            </c:leaderLines>
            <c:extLst>
              <c:ext xmlns:c15="http://schemas.microsoft.com/office/drawing/2012/chart" uri="{CE6537A1-D6FC-4f65-9D91-7224C49458BB}"/>
            </c:extLst>
          </c:dLbls>
          <c:cat>
            <c:strRef>
              <c:f>PVT_Status!$A$4:$A$7</c:f>
              <c:strCache>
                <c:ptCount val="3"/>
                <c:pt idx="0">
                  <c:v>Cancelled</c:v>
                </c:pt>
                <c:pt idx="1">
                  <c:v>Completed</c:v>
                </c:pt>
                <c:pt idx="2">
                  <c:v>Pending</c:v>
                </c:pt>
              </c:strCache>
            </c:strRef>
          </c:cat>
          <c:val>
            <c:numRef>
              <c:f>PVT_Status!$B$4:$B$7</c:f>
              <c:numCache>
                <c:formatCode>General</c:formatCode>
                <c:ptCount val="3"/>
                <c:pt idx="0">
                  <c:v>77</c:v>
                </c:pt>
                <c:pt idx="1">
                  <c:v>88</c:v>
                </c:pt>
                <c:pt idx="2">
                  <c:v>85</c:v>
                </c:pt>
              </c:numCache>
            </c:numRef>
          </c:val>
          <c:extLst>
            <c:ext xmlns:c16="http://schemas.microsoft.com/office/drawing/2014/chart" uri="{C3380CC4-5D6E-409C-BE32-E72D297353CC}">
              <c16:uniqueId val="{00000006-3215-4208-9FAE-F782266D686C}"/>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1600" b="0" i="0" u="none" strike="noStrike" kern="1200" baseline="0%">
              <a:solidFill>
                <a:schemeClr val="lt1">
                  <a:lumMod val="85%"/>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
            <a:lumOff val="35%"/>
          </a:schemeClr>
        </a:gs>
        <a:gs pos="100%">
          <a:schemeClr val="dk1">
            <a:lumMod val="85%"/>
            <a:lumOff val="15%"/>
          </a:schemeClr>
        </a:gs>
      </a:gsLst>
      <a:path path="circle">
        <a:fillToRect l="50%" t="50%" r="50%" b="50%"/>
      </a:path>
      <a:tileRect/>
    </a:gradFill>
    <a:ln>
      <a:noFill/>
    </a:ln>
    <a:effectLst/>
  </c:spPr>
  <c:txPr>
    <a:bodyPr/>
    <a:lstStyle/>
    <a:p>
      <a:pPr>
        <a:defRPr sz="16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purl.oclc.org/ooxml/drawingml/chart" xmlns:a="http://purl.oclc.org/ooxml/drawingml/main" xmlns:r="http://purl.oclc.org/ooxml/officeDocument/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[Amazon_Sales_Performance_Analysis.xlsx]PVT_Category!Total sales by Category</c:name>
    <c:fmtId val="8"/>
  </c:pivotSource>
  <c:chart>
    <c:title>
      <c:tx>
        <c:rich>
          <a:bodyPr rot="0" spcFirstLastPara="1" vertOverflow="ellipsis" vert="horz" wrap="square" anchor="ctr" anchorCtr="1"/>
          <a:lstStyle/>
          <a:p>
            <a:pPr>
              <a:defRPr sz="1600" b="1" i="0" u="none" strike="noStrike" kern="1200" spc="100" baseline="0%">
                <a:solidFill>
                  <a:schemeClr val="lt1">
                    <a:lumMod val="95%"/>
                  </a:schemeClr>
                </a:solidFill>
                <a:effectLst>
                  <a:outerShdw blurRad="50800" dist="38100" dir="5400000" algn="t" rotWithShape="0">
                    <a:prstClr val="black">
                      <a:alpha val="40%"/>
                    </a:prstClr>
                  </a:outerShdw>
                </a:effectLst>
                <a:latin typeface="+mn-lt"/>
                <a:ea typeface="+mn-ea"/>
                <a:cs typeface="+mn-cs"/>
              </a:defRPr>
            </a:pPr>
            <a:r>
              <a:rPr lang="en-US"/>
              <a:t>Total Sales</a:t>
            </a:r>
            <a:r>
              <a:rPr lang="en-US" baseline="0%"/>
              <a:t> by Category</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
                </a:schemeClr>
              </a:solidFill>
              <a:effectLst>
                <a:outerShdw blurRad="50800" dist="38100" dir="5400000" algn="t" rotWithShape="0">
                  <a:prstClr val="black">
                    <a:alpha val="40%"/>
                  </a:prstClr>
                </a:outerShdw>
              </a:effectLst>
              <a:latin typeface="+mn-lt"/>
              <a:ea typeface="+mn-ea"/>
              <a:cs typeface="+mn-cs"/>
            </a:defRPr>
          </a:pPr>
          <a:endParaRPr lang="en-US"/>
        </a:p>
      </c:txPr>
    </c:title>
    <c:autoTitleDeleted val="0"/>
    <c:pivotFmts>
      <c:pivotFmt>
        <c:idx val="0"/>
        <c:spPr>
          <a:gradFill rotWithShape="1">
            <a:gsLst>
              <a:gs pos="0%">
                <a:schemeClr val="accent1">
                  <a:satMod val="103%"/>
                  <a:lumMod val="102%"/>
                  <a:tint val="94%"/>
                </a:schemeClr>
              </a:gs>
              <a:gs pos="50%">
                <a:schemeClr val="accent1">
                  <a:satMod val="110%"/>
                  <a:lumMod val="100%"/>
                  <a:shade val="100%"/>
                </a:schemeClr>
              </a:gs>
              <a:gs pos="100%">
                <a:schemeClr val="accent1">
                  <a:lumMod val="99%"/>
                  <a:satMod val="120%"/>
                  <a:shade val="78%"/>
                </a:schemeClr>
              </a:gs>
            </a:gsLst>
            <a:lin ang="5400000" scaled="0"/>
          </a:gradFill>
          <a:ln>
            <a:noFill/>
          </a:ln>
          <a:effectLst>
            <a:outerShdw blurRad="57150" dist="19050" dir="5400000" algn="ctr" rotWithShape="0">
              <a:srgbClr val="000000">
                <a:alpha val="63%"/>
              </a:srgbClr>
            </a:outerShdw>
          </a:effectLst>
        </c:spPr>
        <c:marker>
          <c:symbol val="circle"/>
          <c:size val="6"/>
          <c:spPr>
            <a:gradFill rotWithShape="1">
              <a:gsLst>
                <a:gs pos="0%">
                  <a:schemeClr val="accent1">
                    <a:satMod val="103%"/>
                    <a:lumMod val="102%"/>
                    <a:tint val="94%"/>
                  </a:schemeClr>
                </a:gs>
                <a:gs pos="50%">
                  <a:schemeClr val="accent1">
                    <a:satMod val="110%"/>
                    <a:lumMod val="100%"/>
                    <a:shade val="100%"/>
                  </a:schemeClr>
                </a:gs>
                <a:gs pos="100%">
                  <a:schemeClr val="accent1">
                    <a:lumMod val="99%"/>
                    <a:satMod val="120%"/>
                    <a:shade val="78%"/>
                  </a:schemeClr>
                </a:gs>
              </a:gsLst>
              <a:lin ang="5400000" scaled="0"/>
            </a:gradFill>
            <a:ln w="9525">
              <a:solidFill>
                <a:schemeClr val="accent1"/>
              </a:solidFill>
              <a:round/>
            </a:ln>
            <a:effectLst>
              <a:outerShdw blurRad="57150" dist="19050" dir="5400000" algn="ctr" rotWithShape="0">
                <a:srgbClr val="000000">
                  <a:alpha val="63%"/>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
                  <a:lumMod val="102%"/>
                  <a:tint val="94%"/>
                </a:schemeClr>
              </a:gs>
              <a:gs pos="50%">
                <a:schemeClr val="accent1">
                  <a:satMod val="110%"/>
                  <a:lumMod val="100%"/>
                  <a:shade val="100%"/>
                </a:schemeClr>
              </a:gs>
              <a:gs pos="100%">
                <a:schemeClr val="accent1">
                  <a:lumMod val="99%"/>
                  <a:satMod val="120%"/>
                  <a:shade val="78%"/>
                </a:schemeClr>
              </a:gs>
            </a:gsLst>
            <a:lin ang="5400000" scaled="0"/>
          </a:gradFill>
          <a:ln>
            <a:noFill/>
          </a:ln>
          <a:effectLst>
            <a:outerShdw blurRad="57150" dist="19050" dir="5400000" algn="ctr" rotWithShape="0">
              <a:srgbClr val="000000">
                <a:alpha val="63%"/>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
                  <a:lumMod val="102%"/>
                  <a:tint val="94%"/>
                </a:schemeClr>
              </a:gs>
              <a:gs pos="50%">
                <a:schemeClr val="accent1">
                  <a:satMod val="110%"/>
                  <a:lumMod val="100%"/>
                  <a:shade val="100%"/>
                </a:schemeClr>
              </a:gs>
              <a:gs pos="100%">
                <a:schemeClr val="accent1">
                  <a:lumMod val="99%"/>
                  <a:satMod val="120%"/>
                  <a:shade val="78%"/>
                </a:schemeClr>
              </a:gs>
            </a:gsLst>
            <a:lin ang="5400000" scaled="0"/>
          </a:gradFill>
          <a:ln>
            <a:noFill/>
          </a:ln>
          <a:effectLst>
            <a:outerShdw blurRad="57150" dist="19050" dir="5400000" algn="ctr" rotWithShape="0">
              <a:srgbClr val="000000">
                <a:alpha val="63%"/>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
                  <a:lumMod val="102%"/>
                  <a:tint val="94%"/>
                </a:schemeClr>
              </a:gs>
              <a:gs pos="50%">
                <a:schemeClr val="accent1">
                  <a:satMod val="110%"/>
                  <a:lumMod val="100%"/>
                  <a:shade val="100%"/>
                </a:schemeClr>
              </a:gs>
              <a:gs pos="100%">
                <a:schemeClr val="accent1">
                  <a:lumMod val="99%"/>
                  <a:satMod val="120%"/>
                  <a:shade val="78%"/>
                </a:schemeClr>
              </a:gs>
            </a:gsLst>
            <a:lin ang="5400000" scaled="0"/>
          </a:gradFill>
          <a:ln>
            <a:noFill/>
          </a:ln>
          <a:effectLst>
            <a:outerShdw blurRad="57150" dist="19050" dir="5400000" algn="ctr" rotWithShape="0">
              <a:srgbClr val="000000">
                <a:alpha val="63%"/>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
                  <a:lumMod val="102%"/>
                  <a:tint val="94%"/>
                </a:schemeClr>
              </a:gs>
              <a:gs pos="50%">
                <a:schemeClr val="accent1">
                  <a:satMod val="110%"/>
                  <a:lumMod val="100%"/>
                  <a:shade val="100%"/>
                </a:schemeClr>
              </a:gs>
              <a:gs pos="100%">
                <a:schemeClr val="accent1">
                  <a:lumMod val="99%"/>
                  <a:satMod val="120%"/>
                  <a:shade val="78%"/>
                </a:schemeClr>
              </a:gs>
            </a:gsLst>
            <a:lin ang="5400000" scaled="0"/>
          </a:gradFill>
          <a:ln>
            <a:noFill/>
          </a:ln>
          <a:effectLst>
            <a:outerShdw blurRad="57150" dist="19050" dir="5400000" algn="ctr" rotWithShape="0">
              <a:srgbClr val="000000">
                <a:alpha val="63%"/>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
                  <a:lumMod val="102%"/>
                  <a:tint val="94%"/>
                </a:schemeClr>
              </a:gs>
              <a:gs pos="50%">
                <a:schemeClr val="accent1">
                  <a:satMod val="110%"/>
                  <a:lumMod val="100%"/>
                  <a:shade val="100%"/>
                </a:schemeClr>
              </a:gs>
              <a:gs pos="100%">
                <a:schemeClr val="accent1">
                  <a:lumMod val="99%"/>
                  <a:satMod val="120%"/>
                  <a:shade val="78%"/>
                </a:schemeClr>
              </a:gs>
            </a:gsLst>
            <a:lin ang="5400000" scaled="0"/>
          </a:gradFill>
          <a:ln>
            <a:noFill/>
          </a:ln>
          <a:effectLst>
            <a:outerShdw blurRad="57150" dist="19050" dir="5400000" algn="ctr" rotWithShape="0">
              <a:srgbClr val="000000">
                <a:alpha val="63%"/>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
                  <a:lumMod val="102%"/>
                  <a:tint val="94%"/>
                </a:schemeClr>
              </a:gs>
              <a:gs pos="50%">
                <a:schemeClr val="accent1">
                  <a:satMod val="110%"/>
                  <a:lumMod val="100%"/>
                  <a:shade val="100%"/>
                </a:schemeClr>
              </a:gs>
              <a:gs pos="100%">
                <a:schemeClr val="accent1">
                  <a:lumMod val="99%"/>
                  <a:satMod val="120%"/>
                  <a:shade val="78%"/>
                </a:schemeClr>
              </a:gs>
            </a:gsLst>
            <a:lin ang="5400000" scaled="0"/>
          </a:gradFill>
          <a:ln>
            <a:noFill/>
          </a:ln>
          <a:effectLst>
            <a:outerShdw blurRad="57150" dist="19050" dir="5400000" algn="ctr" rotWithShape="0">
              <a:srgbClr val="000000">
                <a:alpha val="63%"/>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PVT_Category!$B$3</c:f>
              <c:strCache>
                <c:ptCount val="1"/>
                <c:pt idx="0">
                  <c:v>Total</c:v>
                </c:pt>
              </c:strCache>
            </c:strRef>
          </c:tx>
          <c:spPr>
            <a:gradFill rotWithShape="1">
              <a:gsLst>
                <a:gs pos="0%">
                  <a:schemeClr val="accent1">
                    <a:satMod val="103%"/>
                    <a:lumMod val="102%"/>
                    <a:tint val="94%"/>
                  </a:schemeClr>
                </a:gs>
                <a:gs pos="50%">
                  <a:schemeClr val="accent1">
                    <a:satMod val="110%"/>
                    <a:lumMod val="100%"/>
                    <a:shade val="100%"/>
                  </a:schemeClr>
                </a:gs>
                <a:gs pos="100%">
                  <a:schemeClr val="accent1">
                    <a:lumMod val="99%"/>
                    <a:satMod val="120%"/>
                    <a:shade val="78%"/>
                  </a:schemeClr>
                </a:gs>
              </a:gsLst>
              <a:lin ang="5400000" scaled="0"/>
            </a:gradFill>
            <a:ln>
              <a:noFill/>
            </a:ln>
            <a:effectLst>
              <a:outerShdw blurRad="57150" dist="19050" dir="5400000" algn="ctr" rotWithShape="0">
                <a:srgbClr val="000000">
                  <a:alpha val="63%"/>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
                          <a:alpha val="54%"/>
                        </a:schemeClr>
                      </a:solidFill>
                    </a:ln>
                    <a:effectLst/>
                  </c:spPr>
                </c15:leaderLines>
              </c:ext>
            </c:extLst>
          </c:dLbls>
          <c:cat>
            <c:strRef>
              <c:f>PVT_Category!$A$4:$A$9</c:f>
              <c:strCache>
                <c:ptCount val="5"/>
                <c:pt idx="0">
                  <c:v>Electronics</c:v>
                </c:pt>
                <c:pt idx="1">
                  <c:v>Home Appliances</c:v>
                </c:pt>
                <c:pt idx="2">
                  <c:v>Footwear</c:v>
                </c:pt>
                <c:pt idx="3">
                  <c:v>Clothing</c:v>
                </c:pt>
                <c:pt idx="4">
                  <c:v>Books</c:v>
                </c:pt>
              </c:strCache>
            </c:strRef>
          </c:cat>
          <c:val>
            <c:numRef>
              <c:f>PVT_Category!$B$4:$B$9</c:f>
              <c:numCache>
                <c:formatCode>General</c:formatCode>
                <c:ptCount val="5"/>
                <c:pt idx="0">
                  <c:v>129950</c:v>
                </c:pt>
                <c:pt idx="1">
                  <c:v>105000</c:v>
                </c:pt>
                <c:pt idx="2">
                  <c:v>4320</c:v>
                </c:pt>
                <c:pt idx="3">
                  <c:v>3540</c:v>
                </c:pt>
                <c:pt idx="4">
                  <c:v>1035</c:v>
                </c:pt>
              </c:numCache>
            </c:numRef>
          </c:val>
          <c:extLst>
            <c:ext xmlns:c16="http://schemas.microsoft.com/office/drawing/2014/chart" uri="{C3380CC4-5D6E-409C-BE32-E72D297353CC}">
              <c16:uniqueId val="{00000000-830F-4046-B1AF-BC1330FF3ABF}"/>
            </c:ext>
          </c:extLst>
        </c:ser>
        <c:dLbls>
          <c:dLblPos val="outEnd"/>
          <c:showLegendKey val="0"/>
          <c:showVal val="1"/>
          <c:showCatName val="0"/>
          <c:showSerName val="0"/>
          <c:showPercent val="0"/>
          <c:showBubbleSize val="0"/>
        </c:dLbls>
        <c:gapWidth val="100"/>
        <c:overlap val="-24"/>
        <c:axId val="928350335"/>
        <c:axId val="928352831"/>
      </c:barChart>
      <c:catAx>
        <c:axId val="928350335"/>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
                      </a:schemeClr>
                    </a:solidFill>
                    <a:latin typeface="+mn-lt"/>
                    <a:ea typeface="+mn-ea"/>
                    <a:cs typeface="+mn-cs"/>
                  </a:defRPr>
                </a:pPr>
                <a:r>
                  <a:rPr lang="en-IN"/>
                  <a:t>Category</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
                <a:alpha val="54%"/>
              </a:schemeClr>
            </a:solidFill>
            <a:round/>
          </a:ln>
          <a:effectLst/>
        </c:spPr>
        <c:txPr>
          <a:bodyPr rot="-60000000" spcFirstLastPara="1" vertOverflow="ellipsis" vert="horz" wrap="square" anchor="ctr" anchorCtr="1"/>
          <a:lstStyle/>
          <a:p>
            <a:pPr>
              <a:defRPr sz="900" b="0" i="0" u="none" strike="noStrike" kern="1200" baseline="0%">
                <a:solidFill>
                  <a:schemeClr val="lt1">
                    <a:lumMod val="85%"/>
                  </a:schemeClr>
                </a:solidFill>
                <a:latin typeface="+mn-lt"/>
                <a:ea typeface="+mn-ea"/>
                <a:cs typeface="+mn-cs"/>
              </a:defRPr>
            </a:pPr>
            <a:endParaRPr lang="en-US"/>
          </a:p>
        </c:txPr>
        <c:crossAx val="928352831"/>
        <c:crosses val="autoZero"/>
        <c:auto val="1"/>
        <c:lblAlgn val="ctr"/>
        <c:lblOffset val="100"/>
        <c:noMultiLvlLbl val="0"/>
      </c:catAx>
      <c:valAx>
        <c:axId val="928352831"/>
        <c:scaling>
          <c:orientation val="minMax"/>
        </c:scaling>
        <c:delete val="0"/>
        <c:axPos val="l"/>
        <c:majorGridlines>
          <c:spPr>
            <a:ln w="9525" cap="flat" cmpd="sng" algn="ctr">
              <a:solidFill>
                <a:schemeClr val="lt1">
                  <a:lumMod val="95%"/>
                  <a:alpha val="1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
                      </a:schemeClr>
                    </a:solidFill>
                    <a:latin typeface="+mn-lt"/>
                    <a:ea typeface="+mn-ea"/>
                    <a:cs typeface="+mn-cs"/>
                  </a:defRPr>
                </a:pPr>
                <a:r>
                  <a:rPr lang="en-IN"/>
                  <a:t> Sales</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
                  </a:schemeClr>
                </a:solidFill>
                <a:latin typeface="+mn-lt"/>
                <a:ea typeface="+mn-ea"/>
                <a:cs typeface="+mn-cs"/>
              </a:defRPr>
            </a:pPr>
            <a:endParaRPr lang="en-US"/>
          </a:p>
        </c:txPr>
        <c:crossAx val="92835033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
            <a:lumOff val="35%"/>
          </a:schemeClr>
        </a:gs>
        <a:gs pos="100%">
          <a:schemeClr val="dk1">
            <a:lumMod val="85%"/>
            <a:lumOff val="15%"/>
          </a:schemeClr>
        </a:gs>
      </a:gsLst>
      <a:path path="circle">
        <a:fillToRect l="50%" t="50%" r="50%" b="5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purl.oclc.org/ooxml/drawingml/main" meth="cycle" id="11">
  <a:schemeClr val="accent1"/>
  <a:schemeClr val="accent3"/>
  <a:schemeClr val="accent5"/>
  <cs:variation/>
  <cs:variation>
    <a:lumMod val="60%"/>
  </cs:variation>
  <cs:variation>
    <a:lumMod val="80%"/>
    <a:lumOff val="20%"/>
  </cs:variation>
  <cs:variation>
    <a:lumMod val="80%"/>
  </cs:variation>
  <cs:variation>
    <a:lumMod val="60%"/>
    <a:lumOff val="40%"/>
  </cs:variation>
  <cs:variation>
    <a:lumMod val="50%"/>
  </cs:variation>
  <cs:variation>
    <a:lumMod val="70%"/>
    <a:lumOff val="30%"/>
  </cs:variation>
  <cs:variation>
    <a:lumMod val="70%"/>
  </cs:variation>
  <cs:variation>
    <a:lumMod val="50%"/>
    <a:lumOff val="50%"/>
  </cs:variation>
</cs:colorStyle>
</file>

<file path=xl/charts/colors2.xml><?xml version="1.0" encoding="utf-8"?>
<cs:colorStyle xmlns:cs="http://schemas.microsoft.com/office/drawing/2012/chartStyle" xmlns:a="http://purl.oclc.org/ooxml/drawingml/main" meth="cycle" id="10">
  <a:schemeClr val="accent1"/>
  <a:schemeClr val="accent2"/>
  <a:schemeClr val="accent3"/>
  <a:schemeClr val="accent4"/>
  <a:schemeClr val="accent5"/>
  <a:schemeClr val="accent6"/>
  <cs:variation/>
  <cs:variation>
    <a:lumMod val="60%"/>
  </cs:variation>
  <cs:variation>
    <a:lumMod val="80%"/>
    <a:lumOff val="20%"/>
  </cs:variation>
  <cs:variation>
    <a:lumMod val="80%"/>
  </cs:variation>
  <cs:variation>
    <a:lumMod val="60%"/>
    <a:lumOff val="40%"/>
  </cs:variation>
  <cs:variation>
    <a:lumMod val="50%"/>
  </cs:variation>
  <cs:variation>
    <a:lumMod val="70%"/>
    <a:lumOff val="30%"/>
  </cs:variation>
  <cs:variation>
    <a:lumMod val="70%"/>
  </cs:variation>
  <cs:variation>
    <a:lumMod val="50%"/>
    <a:lumOff val="50%"/>
  </cs:variation>
</cs:colorStyle>
</file>

<file path=xl/charts/colors3.xml><?xml version="1.0" encoding="utf-8"?>
<cs:colorStyle xmlns:cs="http://schemas.microsoft.com/office/drawing/2012/chartStyle" xmlns:a="http://purl.oclc.org/ooxml/drawingml/main" meth="cycle" id="10">
  <a:schemeClr val="accent1"/>
  <a:schemeClr val="accent2"/>
  <a:schemeClr val="accent3"/>
  <a:schemeClr val="accent4"/>
  <a:schemeClr val="accent5"/>
  <a:schemeClr val="accent6"/>
  <cs:variation/>
  <cs:variation>
    <a:lumMod val="60%"/>
  </cs:variation>
  <cs:variation>
    <a:lumMod val="80%"/>
    <a:lumOff val="20%"/>
  </cs:variation>
  <cs:variation>
    <a:lumMod val="80%"/>
  </cs:variation>
  <cs:variation>
    <a:lumMod val="60%"/>
    <a:lumOff val="40%"/>
  </cs:variation>
  <cs:variation>
    <a:lumMod val="50%"/>
  </cs:variation>
  <cs:variation>
    <a:lumMod val="70%"/>
    <a:lumOff val="30%"/>
  </cs:variation>
  <cs:variation>
    <a:lumMod val="70%"/>
  </cs:variation>
  <cs:variation>
    <a:lumMod val="50%"/>
    <a:lumOff val="50%"/>
  </cs:variation>
</cs:colorStyle>
</file>

<file path=xl/charts/colors4.xml><?xml version="1.0" encoding="utf-8"?>
<cs:colorStyle xmlns:cs="http://schemas.microsoft.com/office/drawing/2012/chartStyle" xmlns:a="http://purl.oclc.org/ooxml/drawingml/main" meth="cycle" id="10">
  <a:schemeClr val="accent1"/>
  <a:schemeClr val="accent2"/>
  <a:schemeClr val="accent3"/>
  <a:schemeClr val="accent4"/>
  <a:schemeClr val="accent5"/>
  <a:schemeClr val="accent6"/>
  <cs:variation/>
  <cs:variation>
    <a:lumMod val="60%"/>
  </cs:variation>
  <cs:variation>
    <a:lumMod val="80%"/>
    <a:lumOff val="20%"/>
  </cs:variation>
  <cs:variation>
    <a:lumMod val="80%"/>
  </cs:variation>
  <cs:variation>
    <a:lumMod val="60%"/>
    <a:lumOff val="40%"/>
  </cs:variation>
  <cs:variation>
    <a:lumMod val="50%"/>
  </cs:variation>
  <cs:variation>
    <a:lumMod val="70%"/>
    <a:lumOff val="30%"/>
  </cs:variation>
  <cs:variation>
    <a:lumMod val="70%"/>
  </cs:variation>
  <cs:variation>
    <a:lumMod val="50%"/>
    <a:lumOff val="50%"/>
  </cs:variation>
</cs:colorStyle>
</file>

<file path=xl/charts/colors5.xml><?xml version="1.0" encoding="utf-8"?>
<cs:colorStyle xmlns:cs="http://schemas.microsoft.com/office/drawing/2012/chartStyle" xmlns:a="http://purl.oclc.org/ooxml/drawingml/main" meth="cycle" id="10">
  <a:schemeClr val="accent1"/>
  <a:schemeClr val="accent2"/>
  <a:schemeClr val="accent3"/>
  <a:schemeClr val="accent4"/>
  <a:schemeClr val="accent5"/>
  <a:schemeClr val="accent6"/>
  <cs:variation/>
  <cs:variation>
    <a:lumMod val="60%"/>
  </cs:variation>
  <cs:variation>
    <a:lumMod val="80%"/>
    <a:lumOff val="20%"/>
  </cs:variation>
  <cs:variation>
    <a:lumMod val="80%"/>
  </cs:variation>
  <cs:variation>
    <a:lumMod val="60%"/>
    <a:lumOff val="40%"/>
  </cs:variation>
  <cs:variation>
    <a:lumMod val="50%"/>
  </cs:variation>
  <cs:variation>
    <a:lumMod val="70%"/>
    <a:lumOff val="30%"/>
  </cs:variation>
  <cs:variation>
    <a:lumMod val="70%"/>
  </cs:variation>
  <cs:variation>
    <a:lumMod val="50%"/>
    <a:lumOff val="50%"/>
  </cs:variation>
</cs:colorStyle>
</file>

<file path=xl/charts/colors6.xml><?xml version="1.0" encoding="utf-8"?>
<cs:colorStyle xmlns:cs="http://schemas.microsoft.com/office/drawing/2012/chartStyle" xmlns:a="http://purl.oclc.org/ooxml/drawingml/main" meth="cycle" id="10">
  <a:schemeClr val="accent1"/>
  <a:schemeClr val="accent2"/>
  <a:schemeClr val="accent3"/>
  <a:schemeClr val="accent4"/>
  <a:schemeClr val="accent5"/>
  <a:schemeClr val="accent6"/>
  <cs:variation/>
  <cs:variation>
    <a:lumMod val="60%"/>
  </cs:variation>
  <cs:variation>
    <a:lumMod val="80%"/>
    <a:lumOff val="20%"/>
  </cs:variation>
  <cs:variation>
    <a:lumMod val="80%"/>
  </cs:variation>
  <cs:variation>
    <a:lumMod val="60%"/>
    <a:lumOff val="40%"/>
  </cs:variation>
  <cs:variation>
    <a:lumMod val="50%"/>
  </cs:variation>
  <cs:variation>
    <a:lumMod val="70%"/>
    <a:lumOff val="30%"/>
  </cs:variation>
  <cs:variation>
    <a:lumMod val="70%"/>
  </cs:variation>
  <cs:variation>
    <a:lumMod val="50%"/>
    <a:lumOff val="50%"/>
  </cs:variation>
</cs:colorStyle>
</file>

<file path=xl/charts/colors7.xml><?xml version="1.0" encoding="utf-8"?>
<cs:colorStyle xmlns:cs="http://schemas.microsoft.com/office/drawing/2012/chartStyle" xmlns:a="http://purl.oclc.org/ooxml/drawingml/main" meth="cycle" id="10">
  <a:schemeClr val="accent1"/>
  <a:schemeClr val="accent2"/>
  <a:schemeClr val="accent3"/>
  <a:schemeClr val="accent4"/>
  <a:schemeClr val="accent5"/>
  <a:schemeClr val="accent6"/>
  <cs:variation/>
  <cs:variation>
    <a:lumMod val="60%"/>
  </cs:variation>
  <cs:variation>
    <a:lumMod val="80%"/>
    <a:lumOff val="20%"/>
  </cs:variation>
  <cs:variation>
    <a:lumMod val="80%"/>
  </cs:variation>
  <cs:variation>
    <a:lumMod val="60%"/>
    <a:lumOff val="40%"/>
  </cs:variation>
  <cs:variation>
    <a:lumMod val="50%"/>
  </cs:variation>
  <cs:variation>
    <a:lumMod val="70%"/>
    <a:lumOff val="30%"/>
  </cs:variation>
  <cs:variation>
    <a:lumMod val="70%"/>
  </cs:variation>
  <cs:variation>
    <a:lumMod val="50%"/>
    <a:lumOff val="50%"/>
  </cs:variation>
</cs:colorStyle>
</file>

<file path=xl/charts/colors8.xml><?xml version="1.0" encoding="utf-8"?>
<cs:colorStyle xmlns:cs="http://schemas.microsoft.com/office/drawing/2012/chartStyle" xmlns:a="http://purl.oclc.org/ooxml/drawingml/main" meth="cycle" id="10">
  <a:schemeClr val="accent1"/>
  <a:schemeClr val="accent2"/>
  <a:schemeClr val="accent3"/>
  <a:schemeClr val="accent4"/>
  <a:schemeClr val="accent5"/>
  <a:schemeClr val="accent6"/>
  <cs:variation/>
  <cs:variation>
    <a:lumMod val="60%"/>
  </cs:variation>
  <cs:variation>
    <a:lumMod val="80%"/>
    <a:lumOff val="20%"/>
  </cs:variation>
  <cs:variation>
    <a:lumMod val="80%"/>
  </cs:variation>
  <cs:variation>
    <a:lumMod val="60%"/>
    <a:lumOff val="40%"/>
  </cs:variation>
  <cs:variation>
    <a:lumMod val="50%"/>
  </cs:variation>
  <cs:variation>
    <a:lumMod val="70%"/>
    <a:lumOff val="30%"/>
  </cs:variation>
  <cs:variation>
    <a:lumMod val="70%"/>
  </cs:variation>
  <cs:variation>
    <a:lumMod val="50%"/>
    <a:lumOff val="50%"/>
  </cs:variation>
</cs:colorStyle>
</file>

<file path=xl/charts/colors9.xml><?xml version="1.0" encoding="utf-8"?>
<cs:colorStyle xmlns:cs="http://schemas.microsoft.com/office/drawing/2012/chartStyle" xmlns:a="http://purl.oclc.org/ooxml/drawingml/main" meth="cycle" id="10">
  <a:schemeClr val="accent1"/>
  <a:schemeClr val="accent2"/>
  <a:schemeClr val="accent3"/>
  <a:schemeClr val="accent4"/>
  <a:schemeClr val="accent5"/>
  <a:schemeClr val="accent6"/>
  <cs:variation/>
  <cs:variation>
    <a:lumMod val="60%"/>
  </cs:variation>
  <cs:variation>
    <a:lumMod val="80%"/>
    <a:lumOff val="20%"/>
  </cs:variation>
  <cs:variation>
    <a:lumMod val="80%"/>
  </cs:variation>
  <cs:variation>
    <a:lumMod val="60%"/>
    <a:lumOff val="40%"/>
  </cs:variation>
  <cs:variation>
    <a:lumMod val="50%"/>
  </cs:variation>
  <cs:variation>
    <a:lumMod val="70%"/>
    <a:lumOff val="30%"/>
  </cs:variation>
  <cs:variation>
    <a:lumMod val="70%"/>
  </cs:variation>
  <cs:variation>
    <a:lumMod val="50%"/>
    <a:lumOff val="50%"/>
  </cs:variation>
</cs:colorStyle>
</file>

<file path=xl/charts/colors10.xml><?xml version="1.0" encoding="utf-8"?>
<cs:colorStyle xmlns:cs="http://schemas.microsoft.com/office/drawing/2012/chartStyle" xmlns:a="http://purl.oclc.org/ooxml/drawingml/main" meth="cycle" id="10">
  <a:schemeClr val="accent1"/>
  <a:schemeClr val="accent2"/>
  <a:schemeClr val="accent3"/>
  <a:schemeClr val="accent4"/>
  <a:schemeClr val="accent5"/>
  <a:schemeClr val="accent6"/>
  <cs:variation/>
  <cs:variation>
    <a:lumMod val="60%"/>
  </cs:variation>
  <cs:variation>
    <a:lumMod val="80%"/>
    <a:lumOff val="20%"/>
  </cs:variation>
  <cs:variation>
    <a:lumMod val="80%"/>
  </cs:variation>
  <cs:variation>
    <a:lumMod val="60%"/>
    <a:lumOff val="40%"/>
  </cs:variation>
  <cs:variation>
    <a:lumMod val="50%"/>
  </cs:variation>
  <cs:variation>
    <a:lumMod val="70%"/>
    <a:lumOff val="30%"/>
  </cs:variation>
  <cs:variation>
    <a:lumMod val="70%"/>
  </cs:variation>
  <cs:variation>
    <a:lumMod val="50%"/>
    <a:lumOff val="50%"/>
  </cs:variation>
</cs:colorStyle>
</file>

<file path=xl/charts/colors11.xml><?xml version="1.0" encoding="utf-8"?>
<cs:colorStyle xmlns:cs="http://schemas.microsoft.com/office/drawing/2012/chartStyle" xmlns:a="http://purl.oclc.org/ooxml/drawingml/main" meth="cycle" id="10">
  <a:schemeClr val="accent1"/>
  <a:schemeClr val="accent2"/>
  <a:schemeClr val="accent3"/>
  <a:schemeClr val="accent4"/>
  <a:schemeClr val="accent5"/>
  <a:schemeClr val="accent6"/>
  <cs:variation/>
  <cs:variation>
    <a:lumMod val="60%"/>
  </cs:variation>
  <cs:variation>
    <a:lumMod val="80%"/>
    <a:lumOff val="20%"/>
  </cs:variation>
  <cs:variation>
    <a:lumMod val="80%"/>
  </cs:variation>
  <cs:variation>
    <a:lumMod val="60%"/>
    <a:lumOff val="40%"/>
  </cs:variation>
  <cs:variation>
    <a:lumMod val="50%"/>
  </cs:variation>
  <cs:variation>
    <a:lumMod val="70%"/>
    <a:lumOff val="30%"/>
  </cs:variation>
  <cs:variation>
    <a:lumMod val="70%"/>
  </cs:variation>
  <cs:variation>
    <a:lumMod val="50%"/>
    <a:lumOff val="50%"/>
  </cs:variation>
</cs:colorStyle>
</file>

<file path=xl/charts/colors12.xml><?xml version="1.0" encoding="utf-8"?>
<cs:colorStyle xmlns:cs="http://schemas.microsoft.com/office/drawing/2012/chartStyle" xmlns:a="http://purl.oclc.org/ooxml/drawingml/main" meth="cycle" id="10">
  <a:schemeClr val="accent1"/>
  <a:schemeClr val="accent2"/>
  <a:schemeClr val="accent3"/>
  <a:schemeClr val="accent4"/>
  <a:schemeClr val="accent5"/>
  <a:schemeClr val="accent6"/>
  <cs:variation/>
  <cs:variation>
    <a:lumMod val="60%"/>
  </cs:variation>
  <cs:variation>
    <a:lumMod val="80%"/>
    <a:lumOff val="20%"/>
  </cs:variation>
  <cs:variation>
    <a:lumMod val="80%"/>
  </cs:variation>
  <cs:variation>
    <a:lumMod val="60%"/>
    <a:lumOff val="40%"/>
  </cs:variation>
  <cs:variation>
    <a:lumMod val="50%"/>
  </cs:variation>
  <cs:variation>
    <a:lumMod val="70%"/>
    <a:lumOff val="30%"/>
  </cs:variation>
  <cs:variation>
    <a:lumMod val="70%"/>
  </cs:variation>
  <cs:variation>
    <a:lumMod val="50%"/>
    <a:lumOff val="50%"/>
  </cs:variation>
</cs:colorStyle>
</file>

<file path=xl/charts/colors13.xml><?xml version="1.0" encoding="utf-8"?>
<cs:colorStyle xmlns:cs="http://schemas.microsoft.com/office/drawing/2012/chartStyle" xmlns:a="http://purl.oclc.org/ooxml/drawingml/main" meth="cycle" id="10">
  <a:schemeClr val="accent1"/>
  <a:schemeClr val="accent2"/>
  <a:schemeClr val="accent3"/>
  <a:schemeClr val="accent4"/>
  <a:schemeClr val="accent5"/>
  <a:schemeClr val="accent6"/>
  <cs:variation/>
  <cs:variation>
    <a:lumMod val="60%"/>
  </cs:variation>
  <cs:variation>
    <a:lumMod val="80%"/>
    <a:lumOff val="20%"/>
  </cs:variation>
  <cs:variation>
    <a:lumMod val="80%"/>
  </cs:variation>
  <cs:variation>
    <a:lumMod val="60%"/>
    <a:lumOff val="40%"/>
  </cs:variation>
  <cs:variation>
    <a:lumMod val="50%"/>
  </cs:variation>
  <cs:variation>
    <a:lumMod val="70%"/>
    <a:lumOff val="30%"/>
  </cs:variation>
  <cs:variation>
    <a:lumMod val="70%"/>
  </cs:variation>
  <cs:variation>
    <a:lumMod val="50%"/>
    <a:lumOff val="50%"/>
  </cs:variation>
</cs:colorStyle>
</file>

<file path=xl/charts/colors14.xml><?xml version="1.0" encoding="utf-8"?>
<cs:colorStyle xmlns:cs="http://schemas.microsoft.com/office/drawing/2012/chartStyle" xmlns:a="http://purl.oclc.org/ooxml/drawingml/main" meth="cycle" id="11">
  <a:schemeClr val="accent1"/>
  <a:schemeClr val="accent3"/>
  <a:schemeClr val="accent5"/>
  <cs:variation/>
  <cs:variation>
    <a:lumMod val="60%"/>
  </cs:variation>
  <cs:variation>
    <a:lumMod val="80%"/>
    <a:lumOff val="20%"/>
  </cs:variation>
  <cs:variation>
    <a:lumMod val="80%"/>
  </cs:variation>
  <cs:variation>
    <a:lumMod val="60%"/>
    <a:lumOff val="40%"/>
  </cs:variation>
  <cs:variation>
    <a:lumMod val="50%"/>
  </cs:variation>
  <cs:variation>
    <a:lumMod val="70%"/>
    <a:lumOff val="30%"/>
  </cs:variation>
  <cs:variation>
    <a:lumMod val="70%"/>
  </cs:variation>
  <cs:variation>
    <a:lumMod val="50%"/>
    <a:lumOff val="50%"/>
  </cs:variation>
</cs:colorStyle>
</file>

<file path=xl/charts/style1.xml><?xml version="1.0" encoding="utf-8"?>
<cs:chartStyle xmlns:cs="http://schemas.microsoft.com/office/drawing/2012/chartStyle" xmlns:a="http://purl.oclc.org/ooxml/drawingml/main" id="209">
  <cs:axisTitle>
    <cs:lnRef idx="0"/>
    <cs:fillRef idx="0"/>
    <cs:effectRef idx="0"/>
    <cs:fontRef idx="minor">
      <a:schemeClr val="lt1">
        <a:lumMod val="85%"/>
      </a:schemeClr>
    </cs:fontRef>
    <cs:defRPr sz="900" b="1" kern="1200" cap="all"/>
  </cs:axisTitle>
  <cs:categoryAxis>
    <cs:lnRef idx="0"/>
    <cs:fillRef idx="0"/>
    <cs:effectRef idx="0"/>
    <cs:fontRef idx="minor">
      <a:schemeClr val="lt1">
        <a:lumMod val="85%"/>
      </a:schemeClr>
    </cs:fontRef>
    <cs:spPr>
      <a:ln w="12700" cap="flat" cmpd="sng" algn="ctr">
        <a:solidFill>
          <a:schemeClr val="lt1">
            <a:lumMod val="95%"/>
            <a:alpha val="54%"/>
          </a:schemeClr>
        </a:solidFill>
        <a:round/>
      </a:ln>
    </cs:spPr>
    <cs:defRPr sz="900" kern="1200"/>
  </cs:categoryAxis>
  <cs:chartArea>
    <cs:lnRef idx="0"/>
    <cs:fillRef idx="0"/>
    <cs:effectRef idx="0"/>
    <cs:fontRef idx="minor">
      <a:schemeClr val="dk1"/>
    </cs:fontRef>
    <cs:spPr>
      <a:gradFill flip="none" rotWithShape="1">
        <a:gsLst>
          <a:gs pos="0%">
            <a:schemeClr val="dk1">
              <a:lumMod val="65%"/>
              <a:lumOff val="35%"/>
            </a:schemeClr>
          </a:gs>
          <a:gs pos="100%">
            <a:schemeClr val="dk1">
              <a:lumMod val="85%"/>
              <a:lumOff val="15%"/>
            </a:schemeClr>
          </a:gs>
        </a:gsLst>
        <a:path path="circle">
          <a:fillToRect l="50%" t="50%" r="50%" b="50%"/>
        </a:path>
        <a:tileRect/>
      </a:gradFill>
    </cs:spPr>
    <cs:defRPr sz="1000" kern="1200"/>
  </cs:chartArea>
  <cs:dataLabel>
    <cs:lnRef idx="0"/>
    <cs:fillRef idx="0"/>
    <cs:effectRef idx="0"/>
    <cs:fontRef idx="minor">
      <a:schemeClr val="lt1">
        <a:lumMod val="85%"/>
      </a:schemeClr>
    </cs:fontRef>
    <cs:defRPr sz="900" kern="1200"/>
  </cs:dataLabel>
  <cs:dataLabelCallout>
    <cs:lnRef idx="0"/>
    <cs:fillRef idx="0"/>
    <cs:effectRef idx="0"/>
    <cs:fontRef idx="minor">
      <a:schemeClr val="dk1">
        <a:lumMod val="65%"/>
        <a:lumOff val="35%"/>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
      </a:schemeClr>
    </cs:fontRef>
    <cs:spPr>
      <a:ln w="9525">
        <a:solidFill>
          <a:schemeClr val="lt1">
            <a:lumMod val="95%"/>
            <a:alpha val="54%"/>
          </a:schemeClr>
        </a:solidFill>
      </a:ln>
    </cs:spPr>
    <cs:defRPr sz="900" kern="1200"/>
  </cs:dataTable>
  <cs:downBar>
    <cs:lnRef idx="0"/>
    <cs:fillRef idx="0"/>
    <cs:effectRef idx="0"/>
    <cs:fontRef idx="minor">
      <a:schemeClr val="lt1"/>
    </cs:fontRef>
    <cs:spPr>
      <a:solidFill>
        <a:schemeClr val="dk1">
          <a:lumMod val="75%"/>
          <a:lumOff val="25%"/>
        </a:schemeClr>
      </a:solidFill>
      <a:ln w="9525">
        <a:solidFill>
          <a:schemeClr val="lt1">
            <a:lumMod val="95%"/>
            <a:alpha val="54%"/>
          </a:schemeClr>
        </a:solidFill>
      </a:ln>
    </cs:spPr>
  </cs:downBar>
  <cs:dropLine>
    <cs:lnRef idx="0"/>
    <cs:fillRef idx="0"/>
    <cs:effectRef idx="0"/>
    <cs:fontRef idx="minor">
      <a:schemeClr val="lt1"/>
    </cs:fontRef>
    <cs:spPr>
      <a:ln w="9525">
        <a:solidFill>
          <a:schemeClr val="lt1">
            <a:lumMod val="95%"/>
            <a:alpha val="54%"/>
          </a:schemeClr>
        </a:solidFill>
        <a:prstDash val="dash"/>
      </a:ln>
    </cs:spPr>
  </cs:dropLine>
  <cs:errorBar>
    <cs:lnRef idx="0"/>
    <cs:fillRef idx="0"/>
    <cs:effectRef idx="0"/>
    <cs:fontRef idx="minor">
      <a:schemeClr val="lt1"/>
    </cs:fontRef>
    <cs:spPr>
      <a:ln w="9525" cap="flat" cmpd="sng" algn="ctr">
        <a:solidFill>
          <a:schemeClr val="lt1">
            <a:lumMod val="95%"/>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
            <a:alpha val="10%"/>
          </a:schemeClr>
        </a:solidFill>
        <a:round/>
      </a:ln>
    </cs:spPr>
  </cs:gridlineMajor>
  <cs:gridlineMinor>
    <cs:lnRef idx="0"/>
    <cs:fillRef idx="0"/>
    <cs:effectRef idx="0"/>
    <cs:fontRef idx="minor">
      <a:schemeClr val="lt1"/>
    </cs:fontRef>
    <cs:spPr>
      <a:ln>
        <a:solidFill>
          <a:schemeClr val="lt1">
            <a:lumMod val="95%"/>
            <a:alpha val="5%"/>
          </a:schemeClr>
        </a:solidFill>
      </a:ln>
    </cs:spPr>
  </cs:gridlineMinor>
  <cs:hiLoLine>
    <cs:lnRef idx="0"/>
    <cs:fillRef idx="0"/>
    <cs:effectRef idx="0"/>
    <cs:fontRef idx="minor">
      <a:schemeClr val="lt1"/>
    </cs:fontRef>
    <cs:spPr>
      <a:ln w="9525">
        <a:solidFill>
          <a:schemeClr val="lt1">
            <a:lumMod val="95%"/>
            <a:alpha val="54%"/>
          </a:schemeClr>
        </a:solidFill>
        <a:prstDash val="dash"/>
      </a:ln>
    </cs:spPr>
  </cs:hiLoLine>
  <cs:leaderLine>
    <cs:lnRef idx="0"/>
    <cs:fillRef idx="0"/>
    <cs:effectRef idx="0"/>
    <cs:fontRef idx="minor">
      <a:schemeClr val="lt1"/>
    </cs:fontRef>
    <cs:spPr>
      <a:ln w="9525">
        <a:solidFill>
          <a:schemeClr val="lt1">
            <a:lumMod val="95%"/>
            <a:alpha val="54%"/>
          </a:schemeClr>
        </a:solidFill>
      </a:ln>
    </cs:spPr>
  </cs:leaderLine>
  <cs:legend>
    <cs:lnRef idx="0"/>
    <cs:fillRef idx="0"/>
    <cs:effectRef idx="0"/>
    <cs:fontRef idx="minor">
      <a:schemeClr val="lt1">
        <a:lumMod val="85%"/>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
      </a:schemeClr>
    </cs:fontRef>
    <cs:spPr>
      <a:ln w="12700" cap="flat" cmpd="sng" algn="ctr">
        <a:solidFill>
          <a:schemeClr val="lt1">
            <a:lumMod val="95%"/>
            <a:alpha val="54%"/>
          </a:schemeClr>
        </a:solidFill>
        <a:round/>
      </a:ln>
    </cs:spPr>
    <cs:defRPr sz="900" kern="1200"/>
  </cs:seriesAxis>
  <cs:seriesLine>
    <cs:lnRef idx="0"/>
    <cs:fillRef idx="0"/>
    <cs:effectRef idx="0"/>
    <cs:fontRef idx="minor">
      <a:schemeClr val="lt1"/>
    </cs:fontRef>
    <cs:spPr>
      <a:ln w="9525" cap="flat" cmpd="sng" algn="ctr">
        <a:solidFill>
          <a:schemeClr val="lt1">
            <a:lumMod val="95%"/>
            <a:alpha val="54%"/>
          </a:schemeClr>
        </a:solidFill>
        <a:round/>
      </a:ln>
    </cs:spPr>
  </cs:seriesLine>
  <cs:title>
    <cs:lnRef idx="0"/>
    <cs:fillRef idx="0"/>
    <cs:effectRef idx="0"/>
    <cs:fontRef idx="minor">
      <a:schemeClr val="lt1">
        <a:lumMod val="95%"/>
      </a:schemeClr>
    </cs:fontRef>
    <cs:defRPr sz="1600" b="1" kern="1200" spc="100" baseline="0%">
      <a:effectLst>
        <a:outerShdw blurRad="50800" dist="38100" dir="5400000" algn="t" rotWithShape="0">
          <a:prstClr val="black">
            <a:alpha val="4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
      </a:schemeClr>
    </cs:fontRef>
    <cs:defRPr sz="900" kern="1200"/>
  </cs:trendlineLabel>
  <cs:upBar>
    <cs:lnRef idx="0"/>
    <cs:fillRef idx="0"/>
    <cs:effectRef idx="0"/>
    <cs:fontRef idx="minor">
      <a:schemeClr val="lt1"/>
    </cs:fontRef>
    <cs:spPr>
      <a:solidFill>
        <a:schemeClr val="lt1"/>
      </a:solidFill>
      <a:ln w="9525">
        <a:solidFill>
          <a:schemeClr val="lt1">
            <a:lumMod val="95%"/>
            <a:alpha val="54%"/>
          </a:schemeClr>
        </a:solidFill>
      </a:ln>
    </cs:spPr>
  </cs:upBar>
  <cs:valueAxis>
    <cs:lnRef idx="0"/>
    <cs:fillRef idx="0"/>
    <cs:effectRef idx="0"/>
    <cs:fontRef idx="minor">
      <a:schemeClr val="lt1">
        <a:lumMod val="85%"/>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purl.oclc.org/ooxml/drawingml/main" id="201">
  <cs:axisTitle>
    <cs:lnRef idx="0"/>
    <cs:fillRef idx="0"/>
    <cs:effectRef idx="0"/>
    <cs:fontRef idx="minor">
      <a:schemeClr val="tx1">
        <a:lumMod val="65%"/>
        <a:lumOff val="35%"/>
      </a:schemeClr>
    </cs:fontRef>
    <cs:defRPr sz="1000" kern="1200"/>
  </cs:axisTitle>
  <cs:categoryAxis>
    <cs:lnRef idx="0"/>
    <cs:fillRef idx="0"/>
    <cs:effectRef idx="0"/>
    <cs:fontRef idx="minor">
      <a:schemeClr val="tx1">
        <a:lumMod val="65%"/>
        <a:lumOff val="35%"/>
      </a:schemeClr>
    </cs:fontRef>
    <cs:spPr>
      <a:ln w="9525" cap="flat" cmpd="sng" algn="ctr">
        <a:solidFill>
          <a:schemeClr val="tx1">
            <a:lumMod val="15%"/>
            <a:lumOff val="85%"/>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
            <a:lumOff val="85%"/>
          </a:schemeClr>
        </a:solidFill>
        <a:round/>
      </a:ln>
    </cs:spPr>
    <cs:defRPr sz="1000" kern="1200"/>
  </cs:chartArea>
  <cs:dataLabel>
    <cs:lnRef idx="0"/>
    <cs:fillRef idx="0"/>
    <cs:effectRef idx="0"/>
    <cs:fontRef idx="minor">
      <a:schemeClr val="tx1">
        <a:lumMod val="75%"/>
        <a:lumOff val="25%"/>
      </a:schemeClr>
    </cs:fontRef>
    <cs:defRPr sz="900" kern="1200"/>
  </cs:dataLabel>
  <cs:dataLabelCallout>
    <cs:lnRef idx="0"/>
    <cs:fillRef idx="0"/>
    <cs:effectRef idx="0"/>
    <cs:fontRef idx="minor">
      <a:schemeClr val="dk1">
        <a:lumMod val="65%"/>
        <a:lumOff val="35%"/>
      </a:schemeClr>
    </cs:fontRef>
    <cs:spPr>
      <a:solidFill>
        <a:schemeClr val="lt1"/>
      </a:solidFill>
      <a:ln>
        <a:solidFill>
          <a:schemeClr val="dk1">
            <a:lumMod val="25%"/>
            <a:lumOff val="75%"/>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
        <a:lumOff val="35%"/>
      </a:schemeClr>
    </cs:fontRef>
    <cs:spPr>
      <a:noFill/>
      <a:ln w="9525" cap="flat" cmpd="sng" algn="ctr">
        <a:solidFill>
          <a:schemeClr val="tx1">
            <a:lumMod val="15%"/>
            <a:lumOff val="85%"/>
          </a:schemeClr>
        </a:solidFill>
        <a:round/>
      </a:ln>
    </cs:spPr>
    <cs:defRPr sz="900" kern="1200"/>
  </cs:dataTable>
  <cs:downBar>
    <cs:lnRef idx="0"/>
    <cs:fillRef idx="0"/>
    <cs:effectRef idx="0"/>
    <cs:fontRef idx="minor">
      <a:schemeClr val="dk1"/>
    </cs:fontRef>
    <cs:spPr>
      <a:solidFill>
        <a:schemeClr val="dk1">
          <a:lumMod val="65%"/>
          <a:lumOff val="35%"/>
        </a:schemeClr>
      </a:solidFill>
      <a:ln w="9525">
        <a:solidFill>
          <a:schemeClr val="tx1">
            <a:lumMod val="65%"/>
            <a:lumOff val="35%"/>
          </a:schemeClr>
        </a:solidFill>
      </a:ln>
    </cs:spPr>
  </cs:downBar>
  <cs:dropLine>
    <cs:lnRef idx="0"/>
    <cs:fillRef idx="0"/>
    <cs:effectRef idx="0"/>
    <cs:fontRef idx="minor">
      <a:schemeClr val="tx1"/>
    </cs:fontRef>
    <cs:spPr>
      <a:ln w="9525" cap="flat" cmpd="sng" algn="ctr">
        <a:solidFill>
          <a:schemeClr val="tx1">
            <a:lumMod val="35%"/>
            <a:lumOff val="65%"/>
          </a:schemeClr>
        </a:solidFill>
        <a:round/>
      </a:ln>
    </cs:spPr>
  </cs:dropLine>
  <cs:errorBar>
    <cs:lnRef idx="0"/>
    <cs:fillRef idx="0"/>
    <cs:effectRef idx="0"/>
    <cs:fontRef idx="minor">
      <a:schemeClr val="tx1"/>
    </cs:fontRef>
    <cs:spPr>
      <a:ln w="9525" cap="flat" cmpd="sng" algn="ctr">
        <a:solidFill>
          <a:schemeClr val="tx1">
            <a:lumMod val="65%"/>
            <a:lumOff val="35%"/>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
            <a:lumOff val="85%"/>
          </a:schemeClr>
        </a:solidFill>
        <a:round/>
      </a:ln>
    </cs:spPr>
  </cs:gridlineMajor>
  <cs:gridlineMinor>
    <cs:lnRef idx="0"/>
    <cs:fillRef idx="0"/>
    <cs:effectRef idx="0"/>
    <cs:fontRef idx="minor">
      <a:schemeClr val="tx1"/>
    </cs:fontRef>
    <cs:spPr>
      <a:ln w="9525" cap="flat" cmpd="sng" algn="ctr">
        <a:solidFill>
          <a:schemeClr val="tx1">
            <a:lumMod val="5%"/>
            <a:lumOff val="95%"/>
          </a:schemeClr>
        </a:solidFill>
        <a:round/>
      </a:ln>
    </cs:spPr>
  </cs:gridlineMinor>
  <cs:hiLoLine>
    <cs:lnRef idx="0"/>
    <cs:fillRef idx="0"/>
    <cs:effectRef idx="0"/>
    <cs:fontRef idx="minor">
      <a:schemeClr val="tx1"/>
    </cs:fontRef>
    <cs:spPr>
      <a:ln w="9525" cap="flat" cmpd="sng" algn="ctr">
        <a:solidFill>
          <a:schemeClr val="tx1">
            <a:lumMod val="75%"/>
            <a:lumOff val="25%"/>
          </a:schemeClr>
        </a:solidFill>
        <a:round/>
      </a:ln>
    </cs:spPr>
  </cs:hiLoLine>
  <cs:leaderLine>
    <cs:lnRef idx="0"/>
    <cs:fillRef idx="0"/>
    <cs:effectRef idx="0"/>
    <cs:fontRef idx="minor">
      <a:schemeClr val="tx1"/>
    </cs:fontRef>
    <cs:spPr>
      <a:ln w="9525" cap="flat" cmpd="sng" algn="ctr">
        <a:solidFill>
          <a:schemeClr val="tx1">
            <a:lumMod val="35%"/>
            <a:lumOff val="65%"/>
          </a:schemeClr>
        </a:solidFill>
        <a:round/>
      </a:ln>
    </cs:spPr>
  </cs:leaderLine>
  <cs:legend>
    <cs:lnRef idx="0"/>
    <cs:fillRef idx="0"/>
    <cs:effectRef idx="0"/>
    <cs:fontRef idx="minor">
      <a:schemeClr val="tx1">
        <a:lumMod val="65%"/>
        <a:lumOff val="35%"/>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
        <a:lumOff val="35%"/>
      </a:schemeClr>
    </cs:fontRef>
    <cs:defRPr sz="900" kern="1200"/>
  </cs:seriesAxis>
  <cs:seriesLine>
    <cs:lnRef idx="0"/>
    <cs:fillRef idx="0"/>
    <cs:effectRef idx="0"/>
    <cs:fontRef idx="minor">
      <a:schemeClr val="tx1"/>
    </cs:fontRef>
    <cs:spPr>
      <a:ln w="9525" cap="flat" cmpd="sng" algn="ctr">
        <a:solidFill>
          <a:schemeClr val="tx1">
            <a:lumMod val="35%"/>
            <a:lumOff val="65%"/>
          </a:schemeClr>
        </a:solidFill>
        <a:round/>
      </a:ln>
    </cs:spPr>
  </cs:seriesLine>
  <cs:title>
    <cs:lnRef idx="0"/>
    <cs:fillRef idx="0"/>
    <cs:effectRef idx="0"/>
    <cs:fontRef idx="minor">
      <a:schemeClr val="tx1">
        <a:lumMod val="65%"/>
        <a:lumOff val="35%"/>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
        <a:lumOff val="35%"/>
      </a:schemeClr>
    </cs:fontRef>
    <cs:defRPr sz="900" kern="1200"/>
  </cs:trendlineLabel>
  <cs:upBar>
    <cs:lnRef idx="0"/>
    <cs:fillRef idx="0"/>
    <cs:effectRef idx="0"/>
    <cs:fontRef idx="minor">
      <a:schemeClr val="dk1"/>
    </cs:fontRef>
    <cs:spPr>
      <a:solidFill>
        <a:schemeClr val="lt1"/>
      </a:solidFill>
      <a:ln w="9525">
        <a:solidFill>
          <a:schemeClr val="tx1">
            <a:lumMod val="15%"/>
            <a:lumOff val="85%"/>
          </a:schemeClr>
        </a:solidFill>
      </a:ln>
    </cs:spPr>
  </cs:upBar>
  <cs:valueAxis>
    <cs:lnRef idx="0"/>
    <cs:fillRef idx="0"/>
    <cs:effectRef idx="0"/>
    <cs:fontRef idx="minor">
      <a:schemeClr val="tx1">
        <a:lumMod val="65%"/>
        <a:lumOff val="35%"/>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purl.oclc.org/ooxml/drawingml/main" id="201">
  <cs:axisTitle>
    <cs:lnRef idx="0"/>
    <cs:fillRef idx="0"/>
    <cs:effectRef idx="0"/>
    <cs:fontRef idx="minor">
      <a:schemeClr val="tx1">
        <a:lumMod val="65%"/>
        <a:lumOff val="35%"/>
      </a:schemeClr>
    </cs:fontRef>
    <cs:defRPr sz="1000" kern="1200"/>
  </cs:axisTitle>
  <cs:categoryAxis>
    <cs:lnRef idx="0"/>
    <cs:fillRef idx="0"/>
    <cs:effectRef idx="0"/>
    <cs:fontRef idx="minor">
      <a:schemeClr val="tx1">
        <a:lumMod val="65%"/>
        <a:lumOff val="35%"/>
      </a:schemeClr>
    </cs:fontRef>
    <cs:spPr>
      <a:ln w="9525" cap="flat" cmpd="sng" algn="ctr">
        <a:solidFill>
          <a:schemeClr val="tx1">
            <a:lumMod val="15%"/>
            <a:lumOff val="85%"/>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
            <a:lumOff val="85%"/>
          </a:schemeClr>
        </a:solidFill>
        <a:round/>
      </a:ln>
    </cs:spPr>
    <cs:defRPr sz="1000" kern="1200"/>
  </cs:chartArea>
  <cs:dataLabel>
    <cs:lnRef idx="0"/>
    <cs:fillRef idx="0"/>
    <cs:effectRef idx="0"/>
    <cs:fontRef idx="minor">
      <a:schemeClr val="tx1">
        <a:lumMod val="75%"/>
        <a:lumOff val="25%"/>
      </a:schemeClr>
    </cs:fontRef>
    <cs:defRPr sz="900" kern="1200"/>
  </cs:dataLabel>
  <cs:dataLabelCallout>
    <cs:lnRef idx="0"/>
    <cs:fillRef idx="0"/>
    <cs:effectRef idx="0"/>
    <cs:fontRef idx="minor">
      <a:schemeClr val="dk1">
        <a:lumMod val="65%"/>
        <a:lumOff val="35%"/>
      </a:schemeClr>
    </cs:fontRef>
    <cs:spPr>
      <a:solidFill>
        <a:schemeClr val="lt1"/>
      </a:solidFill>
      <a:ln>
        <a:solidFill>
          <a:schemeClr val="dk1">
            <a:lumMod val="25%"/>
            <a:lumOff val="75%"/>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
        <a:lumOff val="35%"/>
      </a:schemeClr>
    </cs:fontRef>
    <cs:spPr>
      <a:noFill/>
      <a:ln w="9525" cap="flat" cmpd="sng" algn="ctr">
        <a:solidFill>
          <a:schemeClr val="tx1">
            <a:lumMod val="15%"/>
            <a:lumOff val="85%"/>
          </a:schemeClr>
        </a:solidFill>
        <a:round/>
      </a:ln>
    </cs:spPr>
    <cs:defRPr sz="900" kern="1200"/>
  </cs:dataTable>
  <cs:downBar>
    <cs:lnRef idx="0"/>
    <cs:fillRef idx="0"/>
    <cs:effectRef idx="0"/>
    <cs:fontRef idx="minor">
      <a:schemeClr val="dk1"/>
    </cs:fontRef>
    <cs:spPr>
      <a:solidFill>
        <a:schemeClr val="dk1">
          <a:lumMod val="65%"/>
          <a:lumOff val="35%"/>
        </a:schemeClr>
      </a:solidFill>
      <a:ln w="9525">
        <a:solidFill>
          <a:schemeClr val="tx1">
            <a:lumMod val="65%"/>
            <a:lumOff val="35%"/>
          </a:schemeClr>
        </a:solidFill>
      </a:ln>
    </cs:spPr>
  </cs:downBar>
  <cs:dropLine>
    <cs:lnRef idx="0"/>
    <cs:fillRef idx="0"/>
    <cs:effectRef idx="0"/>
    <cs:fontRef idx="minor">
      <a:schemeClr val="tx1"/>
    </cs:fontRef>
    <cs:spPr>
      <a:ln w="9525" cap="flat" cmpd="sng" algn="ctr">
        <a:solidFill>
          <a:schemeClr val="tx1">
            <a:lumMod val="35%"/>
            <a:lumOff val="65%"/>
          </a:schemeClr>
        </a:solidFill>
        <a:round/>
      </a:ln>
    </cs:spPr>
  </cs:dropLine>
  <cs:errorBar>
    <cs:lnRef idx="0"/>
    <cs:fillRef idx="0"/>
    <cs:effectRef idx="0"/>
    <cs:fontRef idx="minor">
      <a:schemeClr val="tx1"/>
    </cs:fontRef>
    <cs:spPr>
      <a:ln w="9525" cap="flat" cmpd="sng" algn="ctr">
        <a:solidFill>
          <a:schemeClr val="tx1">
            <a:lumMod val="65%"/>
            <a:lumOff val="35%"/>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
            <a:lumOff val="85%"/>
          </a:schemeClr>
        </a:solidFill>
        <a:round/>
      </a:ln>
    </cs:spPr>
  </cs:gridlineMajor>
  <cs:gridlineMinor>
    <cs:lnRef idx="0"/>
    <cs:fillRef idx="0"/>
    <cs:effectRef idx="0"/>
    <cs:fontRef idx="minor">
      <a:schemeClr val="tx1"/>
    </cs:fontRef>
    <cs:spPr>
      <a:ln w="9525" cap="flat" cmpd="sng" algn="ctr">
        <a:solidFill>
          <a:schemeClr val="tx1">
            <a:lumMod val="5%"/>
            <a:lumOff val="95%"/>
          </a:schemeClr>
        </a:solidFill>
        <a:round/>
      </a:ln>
    </cs:spPr>
  </cs:gridlineMinor>
  <cs:hiLoLine>
    <cs:lnRef idx="0"/>
    <cs:fillRef idx="0"/>
    <cs:effectRef idx="0"/>
    <cs:fontRef idx="minor">
      <a:schemeClr val="tx1"/>
    </cs:fontRef>
    <cs:spPr>
      <a:ln w="9525" cap="flat" cmpd="sng" algn="ctr">
        <a:solidFill>
          <a:schemeClr val="tx1">
            <a:lumMod val="75%"/>
            <a:lumOff val="25%"/>
          </a:schemeClr>
        </a:solidFill>
        <a:round/>
      </a:ln>
    </cs:spPr>
  </cs:hiLoLine>
  <cs:leaderLine>
    <cs:lnRef idx="0"/>
    <cs:fillRef idx="0"/>
    <cs:effectRef idx="0"/>
    <cs:fontRef idx="minor">
      <a:schemeClr val="tx1"/>
    </cs:fontRef>
    <cs:spPr>
      <a:ln w="9525" cap="flat" cmpd="sng" algn="ctr">
        <a:solidFill>
          <a:schemeClr val="tx1">
            <a:lumMod val="35%"/>
            <a:lumOff val="65%"/>
          </a:schemeClr>
        </a:solidFill>
        <a:round/>
      </a:ln>
    </cs:spPr>
  </cs:leaderLine>
  <cs:legend>
    <cs:lnRef idx="0"/>
    <cs:fillRef idx="0"/>
    <cs:effectRef idx="0"/>
    <cs:fontRef idx="minor">
      <a:schemeClr val="tx1">
        <a:lumMod val="65%"/>
        <a:lumOff val="35%"/>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
        <a:lumOff val="35%"/>
      </a:schemeClr>
    </cs:fontRef>
    <cs:defRPr sz="900" kern="1200"/>
  </cs:seriesAxis>
  <cs:seriesLine>
    <cs:lnRef idx="0"/>
    <cs:fillRef idx="0"/>
    <cs:effectRef idx="0"/>
    <cs:fontRef idx="minor">
      <a:schemeClr val="tx1"/>
    </cs:fontRef>
    <cs:spPr>
      <a:ln w="9525" cap="flat" cmpd="sng" algn="ctr">
        <a:solidFill>
          <a:schemeClr val="tx1">
            <a:lumMod val="35%"/>
            <a:lumOff val="65%"/>
          </a:schemeClr>
        </a:solidFill>
        <a:round/>
      </a:ln>
    </cs:spPr>
  </cs:seriesLine>
  <cs:title>
    <cs:lnRef idx="0"/>
    <cs:fillRef idx="0"/>
    <cs:effectRef idx="0"/>
    <cs:fontRef idx="minor">
      <a:schemeClr val="tx1">
        <a:lumMod val="65%"/>
        <a:lumOff val="35%"/>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
        <a:lumOff val="35%"/>
      </a:schemeClr>
    </cs:fontRef>
    <cs:defRPr sz="900" kern="1200"/>
  </cs:trendlineLabel>
  <cs:upBar>
    <cs:lnRef idx="0"/>
    <cs:fillRef idx="0"/>
    <cs:effectRef idx="0"/>
    <cs:fontRef idx="minor">
      <a:schemeClr val="dk1"/>
    </cs:fontRef>
    <cs:spPr>
      <a:solidFill>
        <a:schemeClr val="lt1"/>
      </a:solidFill>
      <a:ln w="9525">
        <a:solidFill>
          <a:schemeClr val="tx1">
            <a:lumMod val="15%"/>
            <a:lumOff val="85%"/>
          </a:schemeClr>
        </a:solidFill>
      </a:ln>
    </cs:spPr>
  </cs:upBar>
  <cs:valueAxis>
    <cs:lnRef idx="0"/>
    <cs:fillRef idx="0"/>
    <cs:effectRef idx="0"/>
    <cs:fontRef idx="minor">
      <a:schemeClr val="tx1">
        <a:lumMod val="65%"/>
        <a:lumOff val="35%"/>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purl.oclc.org/ooxml/drawingml/main" id="251">
  <cs:axisTitle>
    <cs:lnRef idx="0"/>
    <cs:fillRef idx="0"/>
    <cs:effectRef idx="0"/>
    <cs:fontRef idx="minor">
      <a:schemeClr val="tx1">
        <a:lumMod val="65%"/>
        <a:lumOff val="35%"/>
      </a:schemeClr>
    </cs:fontRef>
    <cs:defRPr sz="1000" kern="1200"/>
  </cs:axisTitle>
  <cs:categoryAxis>
    <cs:lnRef idx="0"/>
    <cs:fillRef idx="0"/>
    <cs:effectRef idx="0"/>
    <cs:fontRef idx="minor">
      <a:schemeClr val="tx1">
        <a:lumMod val="65%"/>
        <a:lumOff val="35%"/>
      </a:schemeClr>
    </cs:fontRef>
    <cs:spPr>
      <a:ln w="9525" cap="flat" cmpd="sng" algn="ctr">
        <a:solidFill>
          <a:schemeClr val="tx1">
            <a:lumMod val="15%"/>
            <a:lumOff val="85%"/>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
            <a:lumOff val="85%"/>
          </a:schemeClr>
        </a:solidFill>
        <a:round/>
      </a:ln>
    </cs:spPr>
    <cs:defRPr sz="900" kern="1200"/>
  </cs:chartArea>
  <cs:dataLabel>
    <cs:lnRef idx="0"/>
    <cs:fillRef idx="0"/>
    <cs:effectRef idx="0"/>
    <cs:fontRef idx="minor">
      <a:schemeClr val="tx1">
        <a:lumMod val="75%"/>
        <a:lumOff val="25%"/>
      </a:schemeClr>
    </cs:fontRef>
    <cs:defRPr sz="900" kern="1200"/>
  </cs:dataLabel>
  <cs:dataLabelCallout>
    <cs:lnRef idx="0"/>
    <cs:fillRef idx="0"/>
    <cs:effectRef idx="0"/>
    <cs:fontRef idx="minor">
      <a:schemeClr val="dk1">
        <a:lumMod val="65%"/>
        <a:lumOff val="35%"/>
      </a:schemeClr>
    </cs:fontRef>
    <cs:spPr>
      <a:solidFill>
        <a:schemeClr val="lt1"/>
      </a:solidFill>
      <a:ln>
        <a:solidFill>
          <a:schemeClr val="dk1">
            <a:lumMod val="25%"/>
            <a:lumOff val="75%"/>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
        <a:lumOff val="35%"/>
      </a:schemeClr>
    </cs:fontRef>
    <cs:spPr>
      <a:noFill/>
      <a:ln w="9525" cap="flat" cmpd="sng" algn="ctr">
        <a:solidFill>
          <a:schemeClr val="tx1">
            <a:lumMod val="15%"/>
            <a:lumOff val="85%"/>
          </a:schemeClr>
        </a:solidFill>
        <a:round/>
      </a:ln>
    </cs:spPr>
    <cs:defRPr sz="900" kern="1200"/>
  </cs:dataTable>
  <cs:downBar>
    <cs:lnRef idx="0"/>
    <cs:fillRef idx="0"/>
    <cs:effectRef idx="0"/>
    <cs:fontRef idx="minor">
      <a:schemeClr val="tx1"/>
    </cs:fontRef>
    <cs:spPr>
      <a:solidFill>
        <a:schemeClr val="dk1">
          <a:lumMod val="75%"/>
          <a:lumOff val="25%"/>
        </a:schemeClr>
      </a:solidFill>
      <a:ln w="9525" cap="flat" cmpd="sng" algn="ctr">
        <a:solidFill>
          <a:schemeClr val="tx1">
            <a:lumMod val="65%"/>
            <a:lumOff val="35%"/>
          </a:schemeClr>
        </a:solidFill>
        <a:round/>
      </a:ln>
    </cs:spPr>
  </cs:downBar>
  <cs:dropLine>
    <cs:lnRef idx="0"/>
    <cs:fillRef idx="0"/>
    <cs:effectRef idx="0"/>
    <cs:fontRef idx="minor">
      <a:schemeClr val="tx1"/>
    </cs:fontRef>
    <cs:spPr>
      <a:ln w="9525" cap="flat" cmpd="sng" algn="ctr">
        <a:solidFill>
          <a:schemeClr val="tx1">
            <a:lumMod val="35%"/>
            <a:lumOff val="65%"/>
          </a:schemeClr>
        </a:solidFill>
        <a:round/>
      </a:ln>
    </cs:spPr>
  </cs:dropLine>
  <cs:errorBar>
    <cs:lnRef idx="0"/>
    <cs:fillRef idx="0"/>
    <cs:effectRef idx="0"/>
    <cs:fontRef idx="minor">
      <a:schemeClr val="tx1"/>
    </cs:fontRef>
    <cs:spPr>
      <a:ln w="9525" cap="flat" cmpd="sng" algn="ctr">
        <a:solidFill>
          <a:schemeClr val="tx1">
            <a:lumMod val="65%"/>
            <a:lumOff val="35%"/>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
            <a:lumOff val="85%"/>
          </a:schemeClr>
        </a:solidFill>
        <a:round/>
      </a:ln>
    </cs:spPr>
  </cs:gridlineMajor>
  <cs:gridlineMinor>
    <cs:lnRef idx="0"/>
    <cs:fillRef idx="0"/>
    <cs:effectRef idx="0"/>
    <cs:fontRef idx="minor">
      <a:schemeClr val="tx1"/>
    </cs:fontRef>
    <cs:spPr>
      <a:ln w="9525" cap="flat" cmpd="sng" algn="ctr">
        <a:solidFill>
          <a:schemeClr val="tx1">
            <a:lumMod val="5%"/>
            <a:lumOff val="95%"/>
          </a:schemeClr>
        </a:solidFill>
        <a:round/>
      </a:ln>
    </cs:spPr>
  </cs:gridlineMinor>
  <cs:hiLoLine>
    <cs:lnRef idx="0"/>
    <cs:fillRef idx="0"/>
    <cs:effectRef idx="0"/>
    <cs:fontRef idx="minor">
      <a:schemeClr val="tx1"/>
    </cs:fontRef>
    <cs:spPr>
      <a:ln w="9525" cap="flat" cmpd="sng" algn="ctr">
        <a:solidFill>
          <a:schemeClr val="tx1">
            <a:lumMod val="50%"/>
            <a:lumOff val="50%"/>
          </a:schemeClr>
        </a:solidFill>
        <a:round/>
      </a:ln>
    </cs:spPr>
  </cs:hiLoLine>
  <cs:leaderLine>
    <cs:lnRef idx="0"/>
    <cs:fillRef idx="0"/>
    <cs:effectRef idx="0"/>
    <cs:fontRef idx="minor">
      <a:schemeClr val="tx1"/>
    </cs:fontRef>
    <cs:spPr>
      <a:ln w="9525" cap="flat" cmpd="sng" algn="ctr">
        <a:solidFill>
          <a:schemeClr val="tx1">
            <a:lumMod val="35%"/>
            <a:lumOff val="65%"/>
          </a:schemeClr>
        </a:solidFill>
        <a:round/>
      </a:ln>
    </cs:spPr>
  </cs:leaderLine>
  <cs:legend>
    <cs:lnRef idx="0"/>
    <cs:fillRef idx="0"/>
    <cs:effectRef idx="0"/>
    <cs:fontRef idx="minor">
      <a:schemeClr val="tx1">
        <a:lumMod val="65%"/>
        <a:lumOff val="35%"/>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
        <a:lumOff val="35%"/>
      </a:schemeClr>
    </cs:fontRef>
    <cs:defRPr sz="900" kern="1200"/>
  </cs:seriesAxis>
  <cs:seriesLine>
    <cs:lnRef idx="0"/>
    <cs:fillRef idx="0"/>
    <cs:effectRef idx="0"/>
    <cs:fontRef idx="minor">
      <a:schemeClr val="tx1"/>
    </cs:fontRef>
    <cs:spPr>
      <a:ln w="9525" cap="flat" cmpd="sng" algn="ctr">
        <a:solidFill>
          <a:schemeClr val="tx1">
            <a:lumMod val="35%"/>
            <a:lumOff val="65%"/>
          </a:schemeClr>
        </a:solidFill>
        <a:round/>
      </a:ln>
    </cs:spPr>
  </cs:seriesLine>
  <cs:title>
    <cs:lnRef idx="0"/>
    <cs:fillRef idx="0"/>
    <cs:effectRef idx="0"/>
    <cs:fontRef idx="minor">
      <a:schemeClr val="tx1">
        <a:lumMod val="65%"/>
        <a:lumOff val="35%"/>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
        <a:lumOff val="35%"/>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
            <a:lumOff val="35%"/>
          </a:schemeClr>
        </a:solidFill>
        <a:round/>
      </a:ln>
    </cs:spPr>
  </cs:upBar>
  <cs:valueAxis>
    <cs:lnRef idx="0"/>
    <cs:fillRef idx="0"/>
    <cs:effectRef idx="0"/>
    <cs:fontRef idx="minor">
      <a:schemeClr val="tx1">
        <a:lumMod val="65%"/>
        <a:lumOff val="35%"/>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purl.oclc.org/ooxml/drawingml/main" id="251">
  <cs:axisTitle>
    <cs:lnRef idx="0"/>
    <cs:fillRef idx="0"/>
    <cs:effectRef idx="0"/>
    <cs:fontRef idx="minor">
      <a:schemeClr val="tx1">
        <a:lumMod val="65%"/>
        <a:lumOff val="35%"/>
      </a:schemeClr>
    </cs:fontRef>
    <cs:defRPr sz="1000" kern="1200"/>
  </cs:axisTitle>
  <cs:categoryAxis>
    <cs:lnRef idx="0"/>
    <cs:fillRef idx="0"/>
    <cs:effectRef idx="0"/>
    <cs:fontRef idx="minor">
      <a:schemeClr val="tx1">
        <a:lumMod val="65%"/>
        <a:lumOff val="35%"/>
      </a:schemeClr>
    </cs:fontRef>
    <cs:spPr>
      <a:ln w="9525" cap="flat" cmpd="sng" algn="ctr">
        <a:solidFill>
          <a:schemeClr val="tx1">
            <a:lumMod val="15%"/>
            <a:lumOff val="85%"/>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
            <a:lumOff val="85%"/>
          </a:schemeClr>
        </a:solidFill>
        <a:round/>
      </a:ln>
    </cs:spPr>
    <cs:defRPr sz="900" kern="1200"/>
  </cs:chartArea>
  <cs:dataLabel>
    <cs:lnRef idx="0"/>
    <cs:fillRef idx="0"/>
    <cs:effectRef idx="0"/>
    <cs:fontRef idx="minor">
      <a:schemeClr val="tx1">
        <a:lumMod val="75%"/>
        <a:lumOff val="25%"/>
      </a:schemeClr>
    </cs:fontRef>
    <cs:defRPr sz="900" kern="1200"/>
  </cs:dataLabel>
  <cs:dataLabelCallout>
    <cs:lnRef idx="0"/>
    <cs:fillRef idx="0"/>
    <cs:effectRef idx="0"/>
    <cs:fontRef idx="minor">
      <a:schemeClr val="dk1">
        <a:lumMod val="65%"/>
        <a:lumOff val="35%"/>
      </a:schemeClr>
    </cs:fontRef>
    <cs:spPr>
      <a:solidFill>
        <a:schemeClr val="lt1"/>
      </a:solidFill>
      <a:ln>
        <a:solidFill>
          <a:schemeClr val="dk1">
            <a:lumMod val="25%"/>
            <a:lumOff val="75%"/>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
        <a:lumOff val="35%"/>
      </a:schemeClr>
    </cs:fontRef>
    <cs:spPr>
      <a:noFill/>
      <a:ln w="9525" cap="flat" cmpd="sng" algn="ctr">
        <a:solidFill>
          <a:schemeClr val="tx1">
            <a:lumMod val="15%"/>
            <a:lumOff val="85%"/>
          </a:schemeClr>
        </a:solidFill>
        <a:round/>
      </a:ln>
    </cs:spPr>
    <cs:defRPr sz="900" kern="1200"/>
  </cs:dataTable>
  <cs:downBar>
    <cs:lnRef idx="0"/>
    <cs:fillRef idx="0"/>
    <cs:effectRef idx="0"/>
    <cs:fontRef idx="minor">
      <a:schemeClr val="tx1"/>
    </cs:fontRef>
    <cs:spPr>
      <a:solidFill>
        <a:schemeClr val="dk1">
          <a:lumMod val="75%"/>
          <a:lumOff val="25%"/>
        </a:schemeClr>
      </a:solidFill>
      <a:ln w="9525" cap="flat" cmpd="sng" algn="ctr">
        <a:solidFill>
          <a:schemeClr val="tx1">
            <a:lumMod val="65%"/>
            <a:lumOff val="35%"/>
          </a:schemeClr>
        </a:solidFill>
        <a:round/>
      </a:ln>
    </cs:spPr>
  </cs:downBar>
  <cs:dropLine>
    <cs:lnRef idx="0"/>
    <cs:fillRef idx="0"/>
    <cs:effectRef idx="0"/>
    <cs:fontRef idx="minor">
      <a:schemeClr val="tx1"/>
    </cs:fontRef>
    <cs:spPr>
      <a:ln w="9525" cap="flat" cmpd="sng" algn="ctr">
        <a:solidFill>
          <a:schemeClr val="tx1">
            <a:lumMod val="35%"/>
            <a:lumOff val="65%"/>
          </a:schemeClr>
        </a:solidFill>
        <a:round/>
      </a:ln>
    </cs:spPr>
  </cs:dropLine>
  <cs:errorBar>
    <cs:lnRef idx="0"/>
    <cs:fillRef idx="0"/>
    <cs:effectRef idx="0"/>
    <cs:fontRef idx="minor">
      <a:schemeClr val="tx1"/>
    </cs:fontRef>
    <cs:spPr>
      <a:ln w="9525" cap="flat" cmpd="sng" algn="ctr">
        <a:solidFill>
          <a:schemeClr val="tx1">
            <a:lumMod val="65%"/>
            <a:lumOff val="35%"/>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
            <a:lumOff val="85%"/>
          </a:schemeClr>
        </a:solidFill>
        <a:round/>
      </a:ln>
    </cs:spPr>
  </cs:gridlineMajor>
  <cs:gridlineMinor>
    <cs:lnRef idx="0"/>
    <cs:fillRef idx="0"/>
    <cs:effectRef idx="0"/>
    <cs:fontRef idx="minor">
      <a:schemeClr val="tx1"/>
    </cs:fontRef>
    <cs:spPr>
      <a:ln w="9525" cap="flat" cmpd="sng" algn="ctr">
        <a:solidFill>
          <a:schemeClr val="tx1">
            <a:lumMod val="5%"/>
            <a:lumOff val="95%"/>
          </a:schemeClr>
        </a:solidFill>
        <a:round/>
      </a:ln>
    </cs:spPr>
  </cs:gridlineMinor>
  <cs:hiLoLine>
    <cs:lnRef idx="0"/>
    <cs:fillRef idx="0"/>
    <cs:effectRef idx="0"/>
    <cs:fontRef idx="minor">
      <a:schemeClr val="tx1"/>
    </cs:fontRef>
    <cs:spPr>
      <a:ln w="9525" cap="flat" cmpd="sng" algn="ctr">
        <a:solidFill>
          <a:schemeClr val="tx1">
            <a:lumMod val="50%"/>
            <a:lumOff val="50%"/>
          </a:schemeClr>
        </a:solidFill>
        <a:round/>
      </a:ln>
    </cs:spPr>
  </cs:hiLoLine>
  <cs:leaderLine>
    <cs:lnRef idx="0"/>
    <cs:fillRef idx="0"/>
    <cs:effectRef idx="0"/>
    <cs:fontRef idx="minor">
      <a:schemeClr val="tx1"/>
    </cs:fontRef>
    <cs:spPr>
      <a:ln w="9525" cap="flat" cmpd="sng" algn="ctr">
        <a:solidFill>
          <a:schemeClr val="tx1">
            <a:lumMod val="35%"/>
            <a:lumOff val="65%"/>
          </a:schemeClr>
        </a:solidFill>
        <a:round/>
      </a:ln>
    </cs:spPr>
  </cs:leaderLine>
  <cs:legend>
    <cs:lnRef idx="0"/>
    <cs:fillRef idx="0"/>
    <cs:effectRef idx="0"/>
    <cs:fontRef idx="minor">
      <a:schemeClr val="tx1">
        <a:lumMod val="65%"/>
        <a:lumOff val="35%"/>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
        <a:lumOff val="35%"/>
      </a:schemeClr>
    </cs:fontRef>
    <cs:defRPr sz="900" kern="1200"/>
  </cs:seriesAxis>
  <cs:seriesLine>
    <cs:lnRef idx="0"/>
    <cs:fillRef idx="0"/>
    <cs:effectRef idx="0"/>
    <cs:fontRef idx="minor">
      <a:schemeClr val="tx1"/>
    </cs:fontRef>
    <cs:spPr>
      <a:ln w="9525" cap="flat" cmpd="sng" algn="ctr">
        <a:solidFill>
          <a:schemeClr val="tx1">
            <a:lumMod val="35%"/>
            <a:lumOff val="65%"/>
          </a:schemeClr>
        </a:solidFill>
        <a:round/>
      </a:ln>
    </cs:spPr>
  </cs:seriesLine>
  <cs:title>
    <cs:lnRef idx="0"/>
    <cs:fillRef idx="0"/>
    <cs:effectRef idx="0"/>
    <cs:fontRef idx="minor">
      <a:schemeClr val="tx1">
        <a:lumMod val="65%"/>
        <a:lumOff val="35%"/>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
        <a:lumOff val="35%"/>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
            <a:lumOff val="35%"/>
          </a:schemeClr>
        </a:solidFill>
        <a:round/>
      </a:ln>
    </cs:spPr>
  </cs:upBar>
  <cs:valueAxis>
    <cs:lnRef idx="0"/>
    <cs:fillRef idx="0"/>
    <cs:effectRef idx="0"/>
    <cs:fontRef idx="minor">
      <a:schemeClr val="tx1">
        <a:lumMod val="65%"/>
        <a:lumOff val="35%"/>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purl.oclc.org/ooxml/drawingml/main" id="216">
  <cs:axisTitle>
    <cs:lnRef idx="0"/>
    <cs:fillRef idx="0"/>
    <cs:effectRef idx="0"/>
    <cs:fontRef idx="minor">
      <a:schemeClr val="tx1">
        <a:lumMod val="65%"/>
        <a:lumOff val="35%"/>
      </a:schemeClr>
    </cs:fontRef>
    <cs:defRPr sz="1000" kern="1200"/>
  </cs:axisTitle>
  <cs:categoryAxis>
    <cs:lnRef idx="0"/>
    <cs:fillRef idx="0"/>
    <cs:effectRef idx="0"/>
    <cs:fontRef idx="minor">
      <a:schemeClr val="tx1">
        <a:lumMod val="65%"/>
        <a:lumOff val="35%"/>
      </a:schemeClr>
    </cs:fontRef>
    <cs:spPr>
      <a:ln w="9525" cap="flat" cmpd="sng" algn="ctr">
        <a:solidFill>
          <a:schemeClr val="tx1">
            <a:lumMod val="15%"/>
            <a:lumOff val="85%"/>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
            <a:lumOff val="85%"/>
          </a:schemeClr>
        </a:solidFill>
        <a:round/>
      </a:ln>
    </cs:spPr>
    <cs:defRPr sz="1000" kern="1200"/>
  </cs:chartArea>
  <cs:dataLabel>
    <cs:lnRef idx="0"/>
    <cs:fillRef idx="0"/>
    <cs:effectRef idx="0"/>
    <cs:fontRef idx="minor">
      <a:schemeClr val="tx1">
        <a:lumMod val="75%"/>
        <a:lumOff val="25%"/>
      </a:schemeClr>
    </cs:fontRef>
    <cs:defRPr sz="900" kern="1200"/>
  </cs:dataLabel>
  <cs:dataLabelCallout>
    <cs:lnRef idx="0"/>
    <cs:fillRef idx="0"/>
    <cs:effectRef idx="0"/>
    <cs:fontRef idx="minor">
      <a:schemeClr val="dk1">
        <a:lumMod val="65%"/>
        <a:lumOff val="35%"/>
      </a:schemeClr>
    </cs:fontRef>
    <cs:spPr>
      <a:solidFill>
        <a:schemeClr val="lt1"/>
      </a:solidFill>
      <a:ln>
        <a:solidFill>
          <a:schemeClr val="dk1">
            <a:lumMod val="25%"/>
            <a:lumOff val="75%"/>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
        <a:lumOff val="35%"/>
      </a:schemeClr>
    </cs:fontRef>
    <cs:spPr>
      <a:noFill/>
      <a:ln w="9525" cap="flat" cmpd="sng" algn="ctr">
        <a:solidFill>
          <a:schemeClr val="tx1">
            <a:lumMod val="15%"/>
            <a:lumOff val="85%"/>
          </a:schemeClr>
        </a:solidFill>
        <a:round/>
      </a:ln>
    </cs:spPr>
    <cs:defRPr sz="900" kern="1200"/>
  </cs:dataTable>
  <cs:downBar>
    <cs:lnRef idx="0"/>
    <cs:fillRef idx="0"/>
    <cs:effectRef idx="0"/>
    <cs:fontRef idx="minor">
      <a:schemeClr val="tx1"/>
    </cs:fontRef>
    <cs:spPr>
      <a:solidFill>
        <a:schemeClr val="dk1">
          <a:lumMod val="75%"/>
          <a:lumOff val="25%"/>
        </a:schemeClr>
      </a:solidFill>
      <a:ln w="9525" cap="flat" cmpd="sng" algn="ctr">
        <a:solidFill>
          <a:schemeClr val="tx1">
            <a:lumMod val="65%"/>
            <a:lumOff val="35%"/>
          </a:schemeClr>
        </a:solidFill>
        <a:round/>
      </a:ln>
    </cs:spPr>
  </cs:downBar>
  <cs:dropLine>
    <cs:lnRef idx="0"/>
    <cs:fillRef idx="0"/>
    <cs:effectRef idx="0"/>
    <cs:fontRef idx="minor">
      <a:schemeClr val="tx1"/>
    </cs:fontRef>
    <cs:spPr>
      <a:ln w="9525" cap="flat" cmpd="sng" algn="ctr">
        <a:solidFill>
          <a:schemeClr val="tx1">
            <a:lumMod val="35%"/>
            <a:lumOff val="65%"/>
          </a:schemeClr>
        </a:solidFill>
        <a:round/>
      </a:ln>
    </cs:spPr>
  </cs:dropLine>
  <cs:errorBar>
    <cs:lnRef idx="0"/>
    <cs:fillRef idx="0"/>
    <cs:effectRef idx="0"/>
    <cs:fontRef idx="minor">
      <a:schemeClr val="tx1"/>
    </cs:fontRef>
    <cs:spPr>
      <a:ln w="9525" cap="flat" cmpd="sng" algn="ctr">
        <a:solidFill>
          <a:schemeClr val="tx1">
            <a:lumMod val="65%"/>
            <a:lumOff val="35%"/>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
            <a:lumOff val="85%"/>
          </a:schemeClr>
        </a:solidFill>
        <a:round/>
      </a:ln>
    </cs:spPr>
  </cs:gridlineMajor>
  <cs:gridlineMinor>
    <cs:lnRef idx="0"/>
    <cs:fillRef idx="0"/>
    <cs:effectRef idx="0"/>
    <cs:fontRef idx="minor">
      <a:schemeClr val="tx1"/>
    </cs:fontRef>
    <cs:spPr>
      <a:ln w="9525" cap="flat" cmpd="sng" algn="ctr">
        <a:solidFill>
          <a:schemeClr val="tx1">
            <a:lumMod val="5%"/>
            <a:lumOff val="95%"/>
          </a:schemeClr>
        </a:solidFill>
        <a:round/>
      </a:ln>
    </cs:spPr>
  </cs:gridlineMinor>
  <cs:hiLoLine>
    <cs:lnRef idx="0"/>
    <cs:fillRef idx="0"/>
    <cs:effectRef idx="0"/>
    <cs:fontRef idx="minor">
      <a:schemeClr val="tx1"/>
    </cs:fontRef>
    <cs:spPr>
      <a:ln w="9525" cap="flat" cmpd="sng" algn="ctr">
        <a:solidFill>
          <a:schemeClr val="tx1">
            <a:lumMod val="50%"/>
            <a:lumOff val="50%"/>
          </a:schemeClr>
        </a:solidFill>
        <a:round/>
      </a:ln>
    </cs:spPr>
  </cs:hiLoLine>
  <cs:leaderLine>
    <cs:lnRef idx="0"/>
    <cs:fillRef idx="0"/>
    <cs:effectRef idx="0"/>
    <cs:fontRef idx="minor">
      <a:schemeClr val="tx1"/>
    </cs:fontRef>
    <cs:spPr>
      <a:ln w="9525" cap="flat" cmpd="sng" algn="ctr">
        <a:solidFill>
          <a:schemeClr val="tx1">
            <a:lumMod val="35%"/>
            <a:lumOff val="65%"/>
          </a:schemeClr>
        </a:solidFill>
        <a:round/>
      </a:ln>
    </cs:spPr>
  </cs:leaderLine>
  <cs:legend>
    <cs:lnRef idx="0"/>
    <cs:fillRef idx="0"/>
    <cs:effectRef idx="0"/>
    <cs:fontRef idx="minor">
      <a:schemeClr val="tx1">
        <a:lumMod val="65%"/>
        <a:lumOff val="35%"/>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
        <a:lumOff val="35%"/>
      </a:schemeClr>
    </cs:fontRef>
    <cs:defRPr sz="900" kern="1200"/>
  </cs:seriesAxis>
  <cs:seriesLine>
    <cs:lnRef idx="0"/>
    <cs:fillRef idx="0"/>
    <cs:effectRef idx="0"/>
    <cs:fontRef idx="minor">
      <a:schemeClr val="tx1"/>
    </cs:fontRef>
    <cs:spPr>
      <a:ln w="9525" cap="flat" cmpd="sng" algn="ctr">
        <a:solidFill>
          <a:schemeClr val="tx1">
            <a:lumMod val="35%"/>
            <a:lumOff val="65%"/>
          </a:schemeClr>
        </a:solidFill>
        <a:round/>
      </a:ln>
    </cs:spPr>
  </cs:seriesLine>
  <cs:title>
    <cs:lnRef idx="0"/>
    <cs:fillRef idx="0"/>
    <cs:effectRef idx="0"/>
    <cs:fontRef idx="minor">
      <a:schemeClr val="tx1">
        <a:lumMod val="65%"/>
        <a:lumOff val="35%"/>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
        <a:lumOff val="35%"/>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
            <a:lumOff val="35%"/>
          </a:schemeClr>
        </a:solidFill>
        <a:round/>
      </a:ln>
    </cs:spPr>
  </cs:upBar>
  <cs:valueAxis>
    <cs:lnRef idx="0"/>
    <cs:fillRef idx="0"/>
    <cs:effectRef idx="0"/>
    <cs:fontRef idx="minor">
      <a:schemeClr val="tx1">
        <a:lumMod val="65%"/>
        <a:lumOff val="35%"/>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purl.oclc.org/ooxml/drawingml/main" id="201">
  <cs:axisTitle>
    <cs:lnRef idx="0"/>
    <cs:fillRef idx="0"/>
    <cs:effectRef idx="0"/>
    <cs:fontRef idx="minor">
      <a:schemeClr val="tx1">
        <a:lumMod val="65%"/>
        <a:lumOff val="35%"/>
      </a:schemeClr>
    </cs:fontRef>
    <cs:defRPr sz="1000" kern="1200"/>
  </cs:axisTitle>
  <cs:categoryAxis>
    <cs:lnRef idx="0"/>
    <cs:fillRef idx="0"/>
    <cs:effectRef idx="0"/>
    <cs:fontRef idx="minor">
      <a:schemeClr val="tx1">
        <a:lumMod val="65%"/>
        <a:lumOff val="35%"/>
      </a:schemeClr>
    </cs:fontRef>
    <cs:spPr>
      <a:ln w="9525" cap="flat" cmpd="sng" algn="ctr">
        <a:solidFill>
          <a:schemeClr val="tx1">
            <a:lumMod val="15%"/>
            <a:lumOff val="85%"/>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
            <a:lumOff val="85%"/>
          </a:schemeClr>
        </a:solidFill>
        <a:round/>
      </a:ln>
    </cs:spPr>
    <cs:defRPr sz="1000" kern="1200"/>
  </cs:chartArea>
  <cs:dataLabel>
    <cs:lnRef idx="0"/>
    <cs:fillRef idx="0"/>
    <cs:effectRef idx="0"/>
    <cs:fontRef idx="minor">
      <a:schemeClr val="tx1">
        <a:lumMod val="75%"/>
        <a:lumOff val="25%"/>
      </a:schemeClr>
    </cs:fontRef>
    <cs:defRPr sz="900" kern="1200"/>
  </cs:dataLabel>
  <cs:dataLabelCallout>
    <cs:lnRef idx="0"/>
    <cs:fillRef idx="0"/>
    <cs:effectRef idx="0"/>
    <cs:fontRef idx="minor">
      <a:schemeClr val="dk1">
        <a:lumMod val="65%"/>
        <a:lumOff val="35%"/>
      </a:schemeClr>
    </cs:fontRef>
    <cs:spPr>
      <a:solidFill>
        <a:schemeClr val="lt1"/>
      </a:solidFill>
      <a:ln>
        <a:solidFill>
          <a:schemeClr val="dk1">
            <a:lumMod val="25%"/>
            <a:lumOff val="75%"/>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
        <a:lumOff val="35%"/>
      </a:schemeClr>
    </cs:fontRef>
    <cs:spPr>
      <a:noFill/>
      <a:ln w="9525" cap="flat" cmpd="sng" algn="ctr">
        <a:solidFill>
          <a:schemeClr val="tx1">
            <a:lumMod val="15%"/>
            <a:lumOff val="85%"/>
          </a:schemeClr>
        </a:solidFill>
        <a:round/>
      </a:ln>
    </cs:spPr>
    <cs:defRPr sz="900" kern="1200"/>
  </cs:dataTable>
  <cs:downBar>
    <cs:lnRef idx="0"/>
    <cs:fillRef idx="0"/>
    <cs:effectRef idx="0"/>
    <cs:fontRef idx="minor">
      <a:schemeClr val="dk1"/>
    </cs:fontRef>
    <cs:spPr>
      <a:solidFill>
        <a:schemeClr val="dk1">
          <a:lumMod val="65%"/>
          <a:lumOff val="35%"/>
        </a:schemeClr>
      </a:solidFill>
      <a:ln w="9525">
        <a:solidFill>
          <a:schemeClr val="tx1">
            <a:lumMod val="65%"/>
            <a:lumOff val="35%"/>
          </a:schemeClr>
        </a:solidFill>
      </a:ln>
    </cs:spPr>
  </cs:downBar>
  <cs:dropLine>
    <cs:lnRef idx="0"/>
    <cs:fillRef idx="0"/>
    <cs:effectRef idx="0"/>
    <cs:fontRef idx="minor">
      <a:schemeClr val="tx1"/>
    </cs:fontRef>
    <cs:spPr>
      <a:ln w="9525" cap="flat" cmpd="sng" algn="ctr">
        <a:solidFill>
          <a:schemeClr val="tx1">
            <a:lumMod val="35%"/>
            <a:lumOff val="65%"/>
          </a:schemeClr>
        </a:solidFill>
        <a:round/>
      </a:ln>
    </cs:spPr>
  </cs:dropLine>
  <cs:errorBar>
    <cs:lnRef idx="0"/>
    <cs:fillRef idx="0"/>
    <cs:effectRef idx="0"/>
    <cs:fontRef idx="minor">
      <a:schemeClr val="tx1"/>
    </cs:fontRef>
    <cs:spPr>
      <a:ln w="9525" cap="flat" cmpd="sng" algn="ctr">
        <a:solidFill>
          <a:schemeClr val="tx1">
            <a:lumMod val="65%"/>
            <a:lumOff val="35%"/>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
            <a:lumOff val="85%"/>
          </a:schemeClr>
        </a:solidFill>
        <a:round/>
      </a:ln>
    </cs:spPr>
  </cs:gridlineMajor>
  <cs:gridlineMinor>
    <cs:lnRef idx="0"/>
    <cs:fillRef idx="0"/>
    <cs:effectRef idx="0"/>
    <cs:fontRef idx="minor">
      <a:schemeClr val="tx1"/>
    </cs:fontRef>
    <cs:spPr>
      <a:ln w="9525" cap="flat" cmpd="sng" algn="ctr">
        <a:solidFill>
          <a:schemeClr val="tx1">
            <a:lumMod val="5%"/>
            <a:lumOff val="95%"/>
          </a:schemeClr>
        </a:solidFill>
        <a:round/>
      </a:ln>
    </cs:spPr>
  </cs:gridlineMinor>
  <cs:hiLoLine>
    <cs:lnRef idx="0"/>
    <cs:fillRef idx="0"/>
    <cs:effectRef idx="0"/>
    <cs:fontRef idx="minor">
      <a:schemeClr val="tx1"/>
    </cs:fontRef>
    <cs:spPr>
      <a:ln w="9525" cap="flat" cmpd="sng" algn="ctr">
        <a:solidFill>
          <a:schemeClr val="tx1">
            <a:lumMod val="75%"/>
            <a:lumOff val="25%"/>
          </a:schemeClr>
        </a:solidFill>
        <a:round/>
      </a:ln>
    </cs:spPr>
  </cs:hiLoLine>
  <cs:leaderLine>
    <cs:lnRef idx="0"/>
    <cs:fillRef idx="0"/>
    <cs:effectRef idx="0"/>
    <cs:fontRef idx="minor">
      <a:schemeClr val="tx1"/>
    </cs:fontRef>
    <cs:spPr>
      <a:ln w="9525" cap="flat" cmpd="sng" algn="ctr">
        <a:solidFill>
          <a:schemeClr val="tx1">
            <a:lumMod val="35%"/>
            <a:lumOff val="65%"/>
          </a:schemeClr>
        </a:solidFill>
        <a:round/>
      </a:ln>
    </cs:spPr>
  </cs:leaderLine>
  <cs:legend>
    <cs:lnRef idx="0"/>
    <cs:fillRef idx="0"/>
    <cs:effectRef idx="0"/>
    <cs:fontRef idx="minor">
      <a:schemeClr val="tx1">
        <a:lumMod val="65%"/>
        <a:lumOff val="35%"/>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
        <a:lumOff val="35%"/>
      </a:schemeClr>
    </cs:fontRef>
    <cs:defRPr sz="900" kern="1200"/>
  </cs:seriesAxis>
  <cs:seriesLine>
    <cs:lnRef idx="0"/>
    <cs:fillRef idx="0"/>
    <cs:effectRef idx="0"/>
    <cs:fontRef idx="minor">
      <a:schemeClr val="tx1"/>
    </cs:fontRef>
    <cs:spPr>
      <a:ln w="9525" cap="flat" cmpd="sng" algn="ctr">
        <a:solidFill>
          <a:schemeClr val="tx1">
            <a:lumMod val="35%"/>
            <a:lumOff val="65%"/>
          </a:schemeClr>
        </a:solidFill>
        <a:round/>
      </a:ln>
    </cs:spPr>
  </cs:seriesLine>
  <cs:title>
    <cs:lnRef idx="0"/>
    <cs:fillRef idx="0"/>
    <cs:effectRef idx="0"/>
    <cs:fontRef idx="minor">
      <a:schemeClr val="tx1">
        <a:lumMod val="65%"/>
        <a:lumOff val="35%"/>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
        <a:lumOff val="35%"/>
      </a:schemeClr>
    </cs:fontRef>
    <cs:defRPr sz="900" kern="1200"/>
  </cs:trendlineLabel>
  <cs:upBar>
    <cs:lnRef idx="0"/>
    <cs:fillRef idx="0"/>
    <cs:effectRef idx="0"/>
    <cs:fontRef idx="minor">
      <a:schemeClr val="dk1"/>
    </cs:fontRef>
    <cs:spPr>
      <a:solidFill>
        <a:schemeClr val="lt1"/>
      </a:solidFill>
      <a:ln w="9525">
        <a:solidFill>
          <a:schemeClr val="tx1">
            <a:lumMod val="15%"/>
            <a:lumOff val="85%"/>
          </a:schemeClr>
        </a:solidFill>
      </a:ln>
    </cs:spPr>
  </cs:upBar>
  <cs:valueAxis>
    <cs:lnRef idx="0"/>
    <cs:fillRef idx="0"/>
    <cs:effectRef idx="0"/>
    <cs:fontRef idx="minor">
      <a:schemeClr val="tx1">
        <a:lumMod val="65%"/>
        <a:lumOff val="35%"/>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purl.oclc.org/ooxml/drawingml/main" id="209">
  <cs:axisTitle>
    <cs:lnRef idx="0"/>
    <cs:fillRef idx="0"/>
    <cs:effectRef idx="0"/>
    <cs:fontRef idx="minor">
      <a:schemeClr val="lt1">
        <a:lumMod val="85%"/>
      </a:schemeClr>
    </cs:fontRef>
    <cs:defRPr sz="900" b="1" kern="1200" cap="all"/>
  </cs:axisTitle>
  <cs:categoryAxis>
    <cs:lnRef idx="0"/>
    <cs:fillRef idx="0"/>
    <cs:effectRef idx="0"/>
    <cs:fontRef idx="minor">
      <a:schemeClr val="lt1">
        <a:lumMod val="85%"/>
      </a:schemeClr>
    </cs:fontRef>
    <cs:spPr>
      <a:ln w="12700" cap="flat" cmpd="sng" algn="ctr">
        <a:solidFill>
          <a:schemeClr val="lt1">
            <a:lumMod val="95%"/>
            <a:alpha val="54%"/>
          </a:schemeClr>
        </a:solidFill>
        <a:round/>
      </a:ln>
    </cs:spPr>
    <cs:defRPr sz="900" kern="1200"/>
  </cs:categoryAxis>
  <cs:chartArea>
    <cs:lnRef idx="0"/>
    <cs:fillRef idx="0"/>
    <cs:effectRef idx="0"/>
    <cs:fontRef idx="minor">
      <a:schemeClr val="dk1"/>
    </cs:fontRef>
    <cs:spPr>
      <a:gradFill flip="none" rotWithShape="1">
        <a:gsLst>
          <a:gs pos="0%">
            <a:schemeClr val="dk1">
              <a:lumMod val="65%"/>
              <a:lumOff val="35%"/>
            </a:schemeClr>
          </a:gs>
          <a:gs pos="100%">
            <a:schemeClr val="dk1">
              <a:lumMod val="85%"/>
              <a:lumOff val="15%"/>
            </a:schemeClr>
          </a:gs>
        </a:gsLst>
        <a:path path="circle">
          <a:fillToRect l="50%" t="50%" r="50%" b="50%"/>
        </a:path>
        <a:tileRect/>
      </a:gradFill>
    </cs:spPr>
    <cs:defRPr sz="1000" kern="1200"/>
  </cs:chartArea>
  <cs:dataLabel>
    <cs:lnRef idx="0"/>
    <cs:fillRef idx="0"/>
    <cs:effectRef idx="0"/>
    <cs:fontRef idx="minor">
      <a:schemeClr val="lt1">
        <a:lumMod val="85%"/>
      </a:schemeClr>
    </cs:fontRef>
    <cs:defRPr sz="900" kern="1200"/>
  </cs:dataLabel>
  <cs:dataLabelCallout>
    <cs:lnRef idx="0"/>
    <cs:fillRef idx="0"/>
    <cs:effectRef idx="0"/>
    <cs:fontRef idx="minor">
      <a:schemeClr val="dk1">
        <a:lumMod val="65%"/>
        <a:lumOff val="35%"/>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
      </a:schemeClr>
    </cs:fontRef>
    <cs:spPr>
      <a:ln w="9525">
        <a:solidFill>
          <a:schemeClr val="lt1">
            <a:lumMod val="95%"/>
            <a:alpha val="54%"/>
          </a:schemeClr>
        </a:solidFill>
      </a:ln>
    </cs:spPr>
    <cs:defRPr sz="900" kern="1200"/>
  </cs:dataTable>
  <cs:downBar>
    <cs:lnRef idx="0"/>
    <cs:fillRef idx="0"/>
    <cs:effectRef idx="0"/>
    <cs:fontRef idx="minor">
      <a:schemeClr val="lt1"/>
    </cs:fontRef>
    <cs:spPr>
      <a:solidFill>
        <a:schemeClr val="dk1">
          <a:lumMod val="75%"/>
          <a:lumOff val="25%"/>
        </a:schemeClr>
      </a:solidFill>
      <a:ln w="9525">
        <a:solidFill>
          <a:schemeClr val="lt1">
            <a:lumMod val="95%"/>
            <a:alpha val="54%"/>
          </a:schemeClr>
        </a:solidFill>
      </a:ln>
    </cs:spPr>
  </cs:downBar>
  <cs:dropLine>
    <cs:lnRef idx="0"/>
    <cs:fillRef idx="0"/>
    <cs:effectRef idx="0"/>
    <cs:fontRef idx="minor">
      <a:schemeClr val="lt1"/>
    </cs:fontRef>
    <cs:spPr>
      <a:ln w="9525">
        <a:solidFill>
          <a:schemeClr val="lt1">
            <a:lumMod val="95%"/>
            <a:alpha val="54%"/>
          </a:schemeClr>
        </a:solidFill>
        <a:prstDash val="dash"/>
      </a:ln>
    </cs:spPr>
  </cs:dropLine>
  <cs:errorBar>
    <cs:lnRef idx="0"/>
    <cs:fillRef idx="0"/>
    <cs:effectRef idx="0"/>
    <cs:fontRef idx="minor">
      <a:schemeClr val="lt1"/>
    </cs:fontRef>
    <cs:spPr>
      <a:ln w="9525" cap="flat" cmpd="sng" algn="ctr">
        <a:solidFill>
          <a:schemeClr val="lt1">
            <a:lumMod val="95%"/>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
            <a:alpha val="10%"/>
          </a:schemeClr>
        </a:solidFill>
        <a:round/>
      </a:ln>
    </cs:spPr>
  </cs:gridlineMajor>
  <cs:gridlineMinor>
    <cs:lnRef idx="0"/>
    <cs:fillRef idx="0"/>
    <cs:effectRef idx="0"/>
    <cs:fontRef idx="minor">
      <a:schemeClr val="lt1"/>
    </cs:fontRef>
    <cs:spPr>
      <a:ln>
        <a:solidFill>
          <a:schemeClr val="lt1">
            <a:lumMod val="95%"/>
            <a:alpha val="5%"/>
          </a:schemeClr>
        </a:solidFill>
      </a:ln>
    </cs:spPr>
  </cs:gridlineMinor>
  <cs:hiLoLine>
    <cs:lnRef idx="0"/>
    <cs:fillRef idx="0"/>
    <cs:effectRef idx="0"/>
    <cs:fontRef idx="minor">
      <a:schemeClr val="lt1"/>
    </cs:fontRef>
    <cs:spPr>
      <a:ln w="9525">
        <a:solidFill>
          <a:schemeClr val="lt1">
            <a:lumMod val="95%"/>
            <a:alpha val="54%"/>
          </a:schemeClr>
        </a:solidFill>
        <a:prstDash val="dash"/>
      </a:ln>
    </cs:spPr>
  </cs:hiLoLine>
  <cs:leaderLine>
    <cs:lnRef idx="0"/>
    <cs:fillRef idx="0"/>
    <cs:effectRef idx="0"/>
    <cs:fontRef idx="minor">
      <a:schemeClr val="lt1"/>
    </cs:fontRef>
    <cs:spPr>
      <a:ln w="9525">
        <a:solidFill>
          <a:schemeClr val="lt1">
            <a:lumMod val="95%"/>
            <a:alpha val="54%"/>
          </a:schemeClr>
        </a:solidFill>
      </a:ln>
    </cs:spPr>
  </cs:leaderLine>
  <cs:legend>
    <cs:lnRef idx="0"/>
    <cs:fillRef idx="0"/>
    <cs:effectRef idx="0"/>
    <cs:fontRef idx="minor">
      <a:schemeClr val="lt1">
        <a:lumMod val="85%"/>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
      </a:schemeClr>
    </cs:fontRef>
    <cs:spPr>
      <a:ln w="12700" cap="flat" cmpd="sng" algn="ctr">
        <a:solidFill>
          <a:schemeClr val="lt1">
            <a:lumMod val="95%"/>
            <a:alpha val="54%"/>
          </a:schemeClr>
        </a:solidFill>
        <a:round/>
      </a:ln>
    </cs:spPr>
    <cs:defRPr sz="900" kern="1200"/>
  </cs:seriesAxis>
  <cs:seriesLine>
    <cs:lnRef idx="0"/>
    <cs:fillRef idx="0"/>
    <cs:effectRef idx="0"/>
    <cs:fontRef idx="minor">
      <a:schemeClr val="lt1"/>
    </cs:fontRef>
    <cs:spPr>
      <a:ln w="9525" cap="flat" cmpd="sng" algn="ctr">
        <a:solidFill>
          <a:schemeClr val="lt1">
            <a:lumMod val="95%"/>
            <a:alpha val="54%"/>
          </a:schemeClr>
        </a:solidFill>
        <a:round/>
      </a:ln>
    </cs:spPr>
  </cs:seriesLine>
  <cs:title>
    <cs:lnRef idx="0"/>
    <cs:fillRef idx="0"/>
    <cs:effectRef idx="0"/>
    <cs:fontRef idx="minor">
      <a:schemeClr val="lt1">
        <a:lumMod val="95%"/>
      </a:schemeClr>
    </cs:fontRef>
    <cs:defRPr sz="1600" b="1" kern="1200" spc="100" baseline="0%">
      <a:effectLst>
        <a:outerShdw blurRad="50800" dist="38100" dir="5400000" algn="t" rotWithShape="0">
          <a:prstClr val="black">
            <a:alpha val="4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
      </a:schemeClr>
    </cs:fontRef>
    <cs:defRPr sz="900" kern="1200"/>
  </cs:trendlineLabel>
  <cs:upBar>
    <cs:lnRef idx="0"/>
    <cs:fillRef idx="0"/>
    <cs:effectRef idx="0"/>
    <cs:fontRef idx="minor">
      <a:schemeClr val="lt1"/>
    </cs:fontRef>
    <cs:spPr>
      <a:solidFill>
        <a:schemeClr val="lt1"/>
      </a:solidFill>
      <a:ln w="9525">
        <a:solidFill>
          <a:schemeClr val="lt1">
            <a:lumMod val="95%"/>
            <a:alpha val="54%"/>
          </a:schemeClr>
        </a:solidFill>
      </a:ln>
    </cs:spPr>
  </cs:upBar>
  <cs:valueAxis>
    <cs:lnRef idx="0"/>
    <cs:fillRef idx="0"/>
    <cs:effectRef idx="0"/>
    <cs:fontRef idx="minor">
      <a:schemeClr val="lt1">
        <a:lumMod val="85%"/>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purl.oclc.org/ooxml/drawingml/main" id="209">
  <cs:axisTitle>
    <cs:lnRef idx="0"/>
    <cs:fillRef idx="0"/>
    <cs:effectRef idx="0"/>
    <cs:fontRef idx="minor">
      <a:schemeClr val="lt1">
        <a:lumMod val="85%"/>
      </a:schemeClr>
    </cs:fontRef>
    <cs:defRPr sz="900" b="1" kern="1200" cap="all"/>
  </cs:axisTitle>
  <cs:categoryAxis>
    <cs:lnRef idx="0"/>
    <cs:fillRef idx="0"/>
    <cs:effectRef idx="0"/>
    <cs:fontRef idx="minor">
      <a:schemeClr val="lt1">
        <a:lumMod val="85%"/>
      </a:schemeClr>
    </cs:fontRef>
    <cs:spPr>
      <a:ln w="12700" cap="flat" cmpd="sng" algn="ctr">
        <a:solidFill>
          <a:schemeClr val="lt1">
            <a:lumMod val="95%"/>
            <a:alpha val="54%"/>
          </a:schemeClr>
        </a:solidFill>
        <a:round/>
      </a:ln>
    </cs:spPr>
    <cs:defRPr sz="900" kern="1200"/>
  </cs:categoryAxis>
  <cs:chartArea>
    <cs:lnRef idx="0"/>
    <cs:fillRef idx="0"/>
    <cs:effectRef idx="0"/>
    <cs:fontRef idx="minor">
      <a:schemeClr val="dk1"/>
    </cs:fontRef>
    <cs:spPr>
      <a:gradFill flip="none" rotWithShape="1">
        <a:gsLst>
          <a:gs pos="0%">
            <a:schemeClr val="dk1">
              <a:lumMod val="65%"/>
              <a:lumOff val="35%"/>
            </a:schemeClr>
          </a:gs>
          <a:gs pos="100%">
            <a:schemeClr val="dk1">
              <a:lumMod val="85%"/>
              <a:lumOff val="15%"/>
            </a:schemeClr>
          </a:gs>
        </a:gsLst>
        <a:path path="circle">
          <a:fillToRect l="50%" t="50%" r="50%" b="50%"/>
        </a:path>
        <a:tileRect/>
      </a:gradFill>
    </cs:spPr>
    <cs:defRPr sz="1000" kern="1200"/>
  </cs:chartArea>
  <cs:dataLabel>
    <cs:lnRef idx="0"/>
    <cs:fillRef idx="0"/>
    <cs:effectRef idx="0"/>
    <cs:fontRef idx="minor">
      <a:schemeClr val="lt1">
        <a:lumMod val="85%"/>
      </a:schemeClr>
    </cs:fontRef>
    <cs:defRPr sz="900" kern="1200"/>
  </cs:dataLabel>
  <cs:dataLabelCallout>
    <cs:lnRef idx="0"/>
    <cs:fillRef idx="0"/>
    <cs:effectRef idx="0"/>
    <cs:fontRef idx="minor">
      <a:schemeClr val="dk1">
        <a:lumMod val="65%"/>
        <a:lumOff val="35%"/>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
      </a:schemeClr>
    </cs:fontRef>
    <cs:spPr>
      <a:ln w="9525">
        <a:solidFill>
          <a:schemeClr val="lt1">
            <a:lumMod val="95%"/>
            <a:alpha val="54%"/>
          </a:schemeClr>
        </a:solidFill>
      </a:ln>
    </cs:spPr>
    <cs:defRPr sz="900" kern="1200"/>
  </cs:dataTable>
  <cs:downBar>
    <cs:lnRef idx="0"/>
    <cs:fillRef idx="0"/>
    <cs:effectRef idx="0"/>
    <cs:fontRef idx="minor">
      <a:schemeClr val="lt1"/>
    </cs:fontRef>
    <cs:spPr>
      <a:solidFill>
        <a:schemeClr val="dk1">
          <a:lumMod val="75%"/>
          <a:lumOff val="25%"/>
        </a:schemeClr>
      </a:solidFill>
      <a:ln w="9525">
        <a:solidFill>
          <a:schemeClr val="lt1">
            <a:lumMod val="95%"/>
            <a:alpha val="54%"/>
          </a:schemeClr>
        </a:solidFill>
      </a:ln>
    </cs:spPr>
  </cs:downBar>
  <cs:dropLine>
    <cs:lnRef idx="0"/>
    <cs:fillRef idx="0"/>
    <cs:effectRef idx="0"/>
    <cs:fontRef idx="minor">
      <a:schemeClr val="lt1"/>
    </cs:fontRef>
    <cs:spPr>
      <a:ln w="9525">
        <a:solidFill>
          <a:schemeClr val="lt1">
            <a:lumMod val="95%"/>
            <a:alpha val="54%"/>
          </a:schemeClr>
        </a:solidFill>
        <a:prstDash val="dash"/>
      </a:ln>
    </cs:spPr>
  </cs:dropLine>
  <cs:errorBar>
    <cs:lnRef idx="0"/>
    <cs:fillRef idx="0"/>
    <cs:effectRef idx="0"/>
    <cs:fontRef idx="minor">
      <a:schemeClr val="lt1"/>
    </cs:fontRef>
    <cs:spPr>
      <a:ln w="9525" cap="flat" cmpd="sng" algn="ctr">
        <a:solidFill>
          <a:schemeClr val="lt1">
            <a:lumMod val="95%"/>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
            <a:alpha val="10%"/>
          </a:schemeClr>
        </a:solidFill>
        <a:round/>
      </a:ln>
    </cs:spPr>
  </cs:gridlineMajor>
  <cs:gridlineMinor>
    <cs:lnRef idx="0"/>
    <cs:fillRef idx="0"/>
    <cs:effectRef idx="0"/>
    <cs:fontRef idx="minor">
      <a:schemeClr val="lt1"/>
    </cs:fontRef>
    <cs:spPr>
      <a:ln>
        <a:solidFill>
          <a:schemeClr val="lt1">
            <a:lumMod val="95%"/>
            <a:alpha val="5%"/>
          </a:schemeClr>
        </a:solidFill>
      </a:ln>
    </cs:spPr>
  </cs:gridlineMinor>
  <cs:hiLoLine>
    <cs:lnRef idx="0"/>
    <cs:fillRef idx="0"/>
    <cs:effectRef idx="0"/>
    <cs:fontRef idx="minor">
      <a:schemeClr val="lt1"/>
    </cs:fontRef>
    <cs:spPr>
      <a:ln w="9525">
        <a:solidFill>
          <a:schemeClr val="lt1">
            <a:lumMod val="95%"/>
            <a:alpha val="54%"/>
          </a:schemeClr>
        </a:solidFill>
        <a:prstDash val="dash"/>
      </a:ln>
    </cs:spPr>
  </cs:hiLoLine>
  <cs:leaderLine>
    <cs:lnRef idx="0"/>
    <cs:fillRef idx="0"/>
    <cs:effectRef idx="0"/>
    <cs:fontRef idx="minor">
      <a:schemeClr val="lt1"/>
    </cs:fontRef>
    <cs:spPr>
      <a:ln w="9525">
        <a:solidFill>
          <a:schemeClr val="lt1">
            <a:lumMod val="95%"/>
            <a:alpha val="54%"/>
          </a:schemeClr>
        </a:solidFill>
      </a:ln>
    </cs:spPr>
  </cs:leaderLine>
  <cs:legend>
    <cs:lnRef idx="0"/>
    <cs:fillRef idx="0"/>
    <cs:effectRef idx="0"/>
    <cs:fontRef idx="minor">
      <a:schemeClr val="lt1">
        <a:lumMod val="85%"/>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
      </a:schemeClr>
    </cs:fontRef>
    <cs:spPr>
      <a:ln w="12700" cap="flat" cmpd="sng" algn="ctr">
        <a:solidFill>
          <a:schemeClr val="lt1">
            <a:lumMod val="95%"/>
            <a:alpha val="54%"/>
          </a:schemeClr>
        </a:solidFill>
        <a:round/>
      </a:ln>
    </cs:spPr>
    <cs:defRPr sz="900" kern="1200"/>
  </cs:seriesAxis>
  <cs:seriesLine>
    <cs:lnRef idx="0"/>
    <cs:fillRef idx="0"/>
    <cs:effectRef idx="0"/>
    <cs:fontRef idx="minor">
      <a:schemeClr val="lt1"/>
    </cs:fontRef>
    <cs:spPr>
      <a:ln w="9525" cap="flat" cmpd="sng" algn="ctr">
        <a:solidFill>
          <a:schemeClr val="lt1">
            <a:lumMod val="95%"/>
            <a:alpha val="54%"/>
          </a:schemeClr>
        </a:solidFill>
        <a:round/>
      </a:ln>
    </cs:spPr>
  </cs:seriesLine>
  <cs:title>
    <cs:lnRef idx="0"/>
    <cs:fillRef idx="0"/>
    <cs:effectRef idx="0"/>
    <cs:fontRef idx="minor">
      <a:schemeClr val="lt1">
        <a:lumMod val="95%"/>
      </a:schemeClr>
    </cs:fontRef>
    <cs:defRPr sz="1600" b="1" kern="1200" spc="100" baseline="0%">
      <a:effectLst>
        <a:outerShdw blurRad="50800" dist="38100" dir="5400000" algn="t" rotWithShape="0">
          <a:prstClr val="black">
            <a:alpha val="4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
      </a:schemeClr>
    </cs:fontRef>
    <cs:defRPr sz="900" kern="1200"/>
  </cs:trendlineLabel>
  <cs:upBar>
    <cs:lnRef idx="0"/>
    <cs:fillRef idx="0"/>
    <cs:effectRef idx="0"/>
    <cs:fontRef idx="minor">
      <a:schemeClr val="lt1"/>
    </cs:fontRef>
    <cs:spPr>
      <a:solidFill>
        <a:schemeClr val="lt1"/>
      </a:solidFill>
      <a:ln w="9525">
        <a:solidFill>
          <a:schemeClr val="lt1">
            <a:lumMod val="95%"/>
            <a:alpha val="54%"/>
          </a:schemeClr>
        </a:solidFill>
      </a:ln>
    </cs:spPr>
  </cs:upBar>
  <cs:valueAxis>
    <cs:lnRef idx="0"/>
    <cs:fillRef idx="0"/>
    <cs:effectRef idx="0"/>
    <cs:fontRef idx="minor">
      <a:schemeClr val="lt1">
        <a:lumMod val="85%"/>
      </a:schemeClr>
    </cs:fontRef>
    <cs:defRPr sz="900" kern="1200"/>
  </cs:valueAxis>
  <cs:wall>
    <cs:lnRef idx="0"/>
    <cs:fillRef idx="0"/>
    <cs:effectRef idx="0"/>
    <cs:fontRef idx="minor">
      <a:schemeClr val="lt1"/>
    </cs:fontRef>
  </cs:wall>
</cs:chartStyle>
</file>

<file path=xl/charts/style10.xml><?xml version="1.0" encoding="utf-8"?>
<cs:chartStyle xmlns:cs="http://schemas.microsoft.com/office/drawing/2012/chartStyle" xmlns:a="http://purl.oclc.org/ooxml/drawingml/main" id="209">
  <cs:axisTitle>
    <cs:lnRef idx="0"/>
    <cs:fillRef idx="0"/>
    <cs:effectRef idx="0"/>
    <cs:fontRef idx="minor">
      <a:schemeClr val="lt1">
        <a:lumMod val="85%"/>
      </a:schemeClr>
    </cs:fontRef>
    <cs:defRPr sz="900" b="1" kern="1200" cap="all"/>
  </cs:axisTitle>
  <cs:categoryAxis>
    <cs:lnRef idx="0"/>
    <cs:fillRef idx="0"/>
    <cs:effectRef idx="0"/>
    <cs:fontRef idx="minor">
      <a:schemeClr val="lt1">
        <a:lumMod val="85%"/>
      </a:schemeClr>
    </cs:fontRef>
    <cs:spPr>
      <a:ln w="12700" cap="flat" cmpd="sng" algn="ctr">
        <a:solidFill>
          <a:schemeClr val="lt1">
            <a:lumMod val="95%"/>
            <a:alpha val="54%"/>
          </a:schemeClr>
        </a:solidFill>
        <a:round/>
      </a:ln>
    </cs:spPr>
    <cs:defRPr sz="900" kern="1200"/>
  </cs:categoryAxis>
  <cs:chartArea>
    <cs:lnRef idx="0"/>
    <cs:fillRef idx="0"/>
    <cs:effectRef idx="0"/>
    <cs:fontRef idx="minor">
      <a:schemeClr val="dk1"/>
    </cs:fontRef>
    <cs:spPr>
      <a:gradFill flip="none" rotWithShape="1">
        <a:gsLst>
          <a:gs pos="0%">
            <a:schemeClr val="dk1">
              <a:lumMod val="65%"/>
              <a:lumOff val="35%"/>
            </a:schemeClr>
          </a:gs>
          <a:gs pos="100%">
            <a:schemeClr val="dk1">
              <a:lumMod val="85%"/>
              <a:lumOff val="15%"/>
            </a:schemeClr>
          </a:gs>
        </a:gsLst>
        <a:path path="circle">
          <a:fillToRect l="50%" t="50%" r="50%" b="50%"/>
        </a:path>
        <a:tileRect/>
      </a:gradFill>
    </cs:spPr>
    <cs:defRPr sz="1000" kern="1200"/>
  </cs:chartArea>
  <cs:dataLabel>
    <cs:lnRef idx="0"/>
    <cs:fillRef idx="0"/>
    <cs:effectRef idx="0"/>
    <cs:fontRef idx="minor">
      <a:schemeClr val="lt1">
        <a:lumMod val="85%"/>
      </a:schemeClr>
    </cs:fontRef>
    <cs:defRPr sz="900" kern="1200"/>
  </cs:dataLabel>
  <cs:dataLabelCallout>
    <cs:lnRef idx="0"/>
    <cs:fillRef idx="0"/>
    <cs:effectRef idx="0"/>
    <cs:fontRef idx="minor">
      <a:schemeClr val="dk1">
        <a:lumMod val="65%"/>
        <a:lumOff val="35%"/>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
      </a:schemeClr>
    </cs:fontRef>
    <cs:spPr>
      <a:ln w="9525">
        <a:solidFill>
          <a:schemeClr val="lt1">
            <a:lumMod val="95%"/>
            <a:alpha val="54%"/>
          </a:schemeClr>
        </a:solidFill>
      </a:ln>
    </cs:spPr>
    <cs:defRPr sz="900" kern="1200"/>
  </cs:dataTable>
  <cs:downBar>
    <cs:lnRef idx="0"/>
    <cs:fillRef idx="0"/>
    <cs:effectRef idx="0"/>
    <cs:fontRef idx="minor">
      <a:schemeClr val="lt1"/>
    </cs:fontRef>
    <cs:spPr>
      <a:solidFill>
        <a:schemeClr val="dk1">
          <a:lumMod val="75%"/>
          <a:lumOff val="25%"/>
        </a:schemeClr>
      </a:solidFill>
      <a:ln w="9525">
        <a:solidFill>
          <a:schemeClr val="lt1">
            <a:lumMod val="95%"/>
            <a:alpha val="54%"/>
          </a:schemeClr>
        </a:solidFill>
      </a:ln>
    </cs:spPr>
  </cs:downBar>
  <cs:dropLine>
    <cs:lnRef idx="0"/>
    <cs:fillRef idx="0"/>
    <cs:effectRef idx="0"/>
    <cs:fontRef idx="minor">
      <a:schemeClr val="lt1"/>
    </cs:fontRef>
    <cs:spPr>
      <a:ln w="9525">
        <a:solidFill>
          <a:schemeClr val="lt1">
            <a:lumMod val="95%"/>
            <a:alpha val="54%"/>
          </a:schemeClr>
        </a:solidFill>
        <a:prstDash val="dash"/>
      </a:ln>
    </cs:spPr>
  </cs:dropLine>
  <cs:errorBar>
    <cs:lnRef idx="0"/>
    <cs:fillRef idx="0"/>
    <cs:effectRef idx="0"/>
    <cs:fontRef idx="minor">
      <a:schemeClr val="lt1"/>
    </cs:fontRef>
    <cs:spPr>
      <a:ln w="9525" cap="flat" cmpd="sng" algn="ctr">
        <a:solidFill>
          <a:schemeClr val="lt1">
            <a:lumMod val="95%"/>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
            <a:alpha val="10%"/>
          </a:schemeClr>
        </a:solidFill>
        <a:round/>
      </a:ln>
    </cs:spPr>
  </cs:gridlineMajor>
  <cs:gridlineMinor>
    <cs:lnRef idx="0"/>
    <cs:fillRef idx="0"/>
    <cs:effectRef idx="0"/>
    <cs:fontRef idx="minor">
      <a:schemeClr val="lt1"/>
    </cs:fontRef>
    <cs:spPr>
      <a:ln>
        <a:solidFill>
          <a:schemeClr val="lt1">
            <a:lumMod val="95%"/>
            <a:alpha val="5%"/>
          </a:schemeClr>
        </a:solidFill>
      </a:ln>
    </cs:spPr>
  </cs:gridlineMinor>
  <cs:hiLoLine>
    <cs:lnRef idx="0"/>
    <cs:fillRef idx="0"/>
    <cs:effectRef idx="0"/>
    <cs:fontRef idx="minor">
      <a:schemeClr val="lt1"/>
    </cs:fontRef>
    <cs:spPr>
      <a:ln w="9525">
        <a:solidFill>
          <a:schemeClr val="lt1">
            <a:lumMod val="95%"/>
            <a:alpha val="54%"/>
          </a:schemeClr>
        </a:solidFill>
        <a:prstDash val="dash"/>
      </a:ln>
    </cs:spPr>
  </cs:hiLoLine>
  <cs:leaderLine>
    <cs:lnRef idx="0"/>
    <cs:fillRef idx="0"/>
    <cs:effectRef idx="0"/>
    <cs:fontRef idx="minor">
      <a:schemeClr val="lt1"/>
    </cs:fontRef>
    <cs:spPr>
      <a:ln w="9525">
        <a:solidFill>
          <a:schemeClr val="lt1">
            <a:lumMod val="95%"/>
            <a:alpha val="54%"/>
          </a:schemeClr>
        </a:solidFill>
      </a:ln>
    </cs:spPr>
  </cs:leaderLine>
  <cs:legend>
    <cs:lnRef idx="0"/>
    <cs:fillRef idx="0"/>
    <cs:effectRef idx="0"/>
    <cs:fontRef idx="minor">
      <a:schemeClr val="lt1">
        <a:lumMod val="85%"/>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
      </a:schemeClr>
    </cs:fontRef>
    <cs:spPr>
      <a:ln w="12700" cap="flat" cmpd="sng" algn="ctr">
        <a:solidFill>
          <a:schemeClr val="lt1">
            <a:lumMod val="95%"/>
            <a:alpha val="54%"/>
          </a:schemeClr>
        </a:solidFill>
        <a:round/>
      </a:ln>
    </cs:spPr>
    <cs:defRPr sz="900" kern="1200"/>
  </cs:seriesAxis>
  <cs:seriesLine>
    <cs:lnRef idx="0"/>
    <cs:fillRef idx="0"/>
    <cs:effectRef idx="0"/>
    <cs:fontRef idx="minor">
      <a:schemeClr val="lt1"/>
    </cs:fontRef>
    <cs:spPr>
      <a:ln w="9525" cap="flat" cmpd="sng" algn="ctr">
        <a:solidFill>
          <a:schemeClr val="lt1">
            <a:lumMod val="95%"/>
            <a:alpha val="54%"/>
          </a:schemeClr>
        </a:solidFill>
        <a:round/>
      </a:ln>
    </cs:spPr>
  </cs:seriesLine>
  <cs:title>
    <cs:lnRef idx="0"/>
    <cs:fillRef idx="0"/>
    <cs:effectRef idx="0"/>
    <cs:fontRef idx="minor">
      <a:schemeClr val="lt1">
        <a:lumMod val="95%"/>
      </a:schemeClr>
    </cs:fontRef>
    <cs:defRPr sz="1600" b="1" kern="1200" spc="100" baseline="0%">
      <a:effectLst>
        <a:outerShdw blurRad="50800" dist="38100" dir="5400000" algn="t" rotWithShape="0">
          <a:prstClr val="black">
            <a:alpha val="4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
      </a:schemeClr>
    </cs:fontRef>
    <cs:defRPr sz="900" kern="1200"/>
  </cs:trendlineLabel>
  <cs:upBar>
    <cs:lnRef idx="0"/>
    <cs:fillRef idx="0"/>
    <cs:effectRef idx="0"/>
    <cs:fontRef idx="minor">
      <a:schemeClr val="lt1"/>
    </cs:fontRef>
    <cs:spPr>
      <a:solidFill>
        <a:schemeClr val="lt1"/>
      </a:solidFill>
      <a:ln w="9525">
        <a:solidFill>
          <a:schemeClr val="lt1">
            <a:lumMod val="95%"/>
            <a:alpha val="54%"/>
          </a:schemeClr>
        </a:solidFill>
      </a:ln>
    </cs:spPr>
  </cs:upBar>
  <cs:valueAxis>
    <cs:lnRef idx="0"/>
    <cs:fillRef idx="0"/>
    <cs:effectRef idx="0"/>
    <cs:fontRef idx="minor">
      <a:schemeClr val="lt1">
        <a:lumMod val="85%"/>
      </a:schemeClr>
    </cs:fontRef>
    <cs:defRPr sz="900" kern="1200"/>
  </cs:valueAxis>
  <cs:wall>
    <cs:lnRef idx="0"/>
    <cs:fillRef idx="0"/>
    <cs:effectRef idx="0"/>
    <cs:fontRef idx="minor">
      <a:schemeClr val="lt1"/>
    </cs:fontRef>
  </cs:wall>
</cs:chartStyle>
</file>

<file path=xl/charts/style11.xml><?xml version="1.0" encoding="utf-8"?>
<cs:chartStyle xmlns:cs="http://schemas.microsoft.com/office/drawing/2012/chartStyle" xmlns:a="http://purl.oclc.org/ooxml/drawingml/main" id="222">
  <cs:axisTitle>
    <cs:lnRef idx="0"/>
    <cs:fillRef idx="0"/>
    <cs:effectRef idx="0"/>
    <cs:fontRef idx="minor">
      <a:schemeClr val="lt1">
        <a:lumMod val="85%"/>
      </a:schemeClr>
    </cs:fontRef>
    <cs:defRPr sz="900" b="1" kern="1200" cap="all"/>
  </cs:axisTitle>
  <cs:categoryAxis>
    <cs:lnRef idx="0"/>
    <cs:fillRef idx="0"/>
    <cs:effectRef idx="0"/>
    <cs:fontRef idx="minor">
      <a:schemeClr val="lt1">
        <a:lumMod val="85%"/>
      </a:schemeClr>
    </cs:fontRef>
    <cs:spPr>
      <a:ln w="12700" cap="flat" cmpd="sng" algn="ctr">
        <a:solidFill>
          <a:schemeClr val="lt1">
            <a:lumMod val="95%"/>
            <a:alpha val="54%"/>
          </a:schemeClr>
        </a:solidFill>
        <a:round/>
      </a:ln>
    </cs:spPr>
    <cs:defRPr sz="900" kern="1200"/>
  </cs:categoryAxis>
  <cs:chartArea>
    <cs:lnRef idx="0"/>
    <cs:fillRef idx="0"/>
    <cs:effectRef idx="0"/>
    <cs:fontRef idx="minor">
      <a:schemeClr val="dk1"/>
    </cs:fontRef>
    <cs:spPr>
      <a:gradFill flip="none" rotWithShape="1">
        <a:gsLst>
          <a:gs pos="0%">
            <a:schemeClr val="dk1">
              <a:lumMod val="65%"/>
              <a:lumOff val="35%"/>
            </a:schemeClr>
          </a:gs>
          <a:gs pos="100%">
            <a:schemeClr val="dk1">
              <a:lumMod val="85%"/>
              <a:lumOff val="15%"/>
            </a:schemeClr>
          </a:gs>
        </a:gsLst>
        <a:path path="circle">
          <a:fillToRect l="50%" t="50%" r="50%" b="50%"/>
        </a:path>
        <a:tileRect/>
      </a:gradFill>
    </cs:spPr>
    <cs:defRPr sz="1000" kern="1200"/>
  </cs:chartArea>
  <cs:dataLabel>
    <cs:lnRef idx="0"/>
    <cs:fillRef idx="0"/>
    <cs:effectRef idx="0"/>
    <cs:fontRef idx="minor">
      <a:schemeClr val="lt1">
        <a:lumMod val="85%"/>
      </a:schemeClr>
    </cs:fontRef>
    <cs:defRPr sz="900" kern="1200"/>
  </cs:dataLabel>
  <cs:dataLabelCallout>
    <cs:lnRef idx="0"/>
    <cs:fillRef idx="0"/>
    <cs:effectRef idx="0"/>
    <cs:fontRef idx="minor">
      <a:schemeClr val="dk1">
        <a:lumMod val="65%"/>
        <a:lumOff val="35%"/>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
      </a:schemeClr>
    </cs:fontRef>
    <cs:spPr>
      <a:ln w="9525">
        <a:solidFill>
          <a:schemeClr val="lt1">
            <a:lumMod val="95%"/>
            <a:alpha val="54%"/>
          </a:schemeClr>
        </a:solidFill>
      </a:ln>
    </cs:spPr>
    <cs:defRPr sz="900" kern="1200"/>
  </cs:dataTable>
  <cs:downBar>
    <cs:lnRef idx="0"/>
    <cs:fillRef idx="0"/>
    <cs:effectRef idx="0"/>
    <cs:fontRef idx="minor">
      <a:schemeClr val="tx1"/>
    </cs:fontRef>
    <cs:spPr>
      <a:solidFill>
        <a:schemeClr val="dk1">
          <a:lumMod val="75%"/>
          <a:lumOff val="25%"/>
        </a:schemeClr>
      </a:solidFill>
      <a:ln w="9525">
        <a:solidFill>
          <a:schemeClr val="lt1">
            <a:lumMod val="95%"/>
            <a:alpha val="54%"/>
          </a:schemeClr>
        </a:solidFill>
      </a:ln>
    </cs:spPr>
  </cs:downBar>
  <cs:dropLine>
    <cs:lnRef idx="0"/>
    <cs:fillRef idx="0"/>
    <cs:effectRef idx="0"/>
    <cs:fontRef idx="minor">
      <a:schemeClr val="tx1"/>
    </cs:fontRef>
    <cs:spPr>
      <a:ln w="9525">
        <a:solidFill>
          <a:schemeClr val="lt1">
            <a:lumMod val="95%"/>
            <a:alpha val="54%"/>
          </a:schemeClr>
        </a:solidFill>
        <a:prstDash val="dash"/>
      </a:ln>
    </cs:spPr>
  </cs:dropLine>
  <cs:errorBar>
    <cs:lnRef idx="0"/>
    <cs:fillRef idx="0"/>
    <cs:effectRef idx="0"/>
    <cs:fontRef idx="minor">
      <a:schemeClr val="tx1"/>
    </cs:fontRef>
    <cs:spPr>
      <a:ln w="9525" cap="flat" cmpd="sng" algn="ctr">
        <a:solidFill>
          <a:schemeClr val="lt1">
            <a:lumMod val="95%"/>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
            <a:alpha val="10%"/>
          </a:schemeClr>
        </a:solidFill>
        <a:round/>
      </a:ln>
    </cs:spPr>
  </cs:gridlineMajor>
  <cs:gridlineMinor>
    <cs:lnRef idx="0"/>
    <cs:fillRef idx="0"/>
    <cs:effectRef idx="0"/>
    <cs:fontRef idx="minor">
      <a:schemeClr val="tx1"/>
    </cs:fontRef>
    <cs:spPr>
      <a:ln>
        <a:solidFill>
          <a:schemeClr val="lt1">
            <a:lumMod val="95%"/>
            <a:alpha val="5%"/>
          </a:schemeClr>
        </a:solidFill>
      </a:ln>
    </cs:spPr>
  </cs:gridlineMinor>
  <cs:hiLoLine>
    <cs:lnRef idx="0"/>
    <cs:fillRef idx="0"/>
    <cs:effectRef idx="0"/>
    <cs:fontRef idx="minor">
      <a:schemeClr val="tx1"/>
    </cs:fontRef>
    <cs:spPr>
      <a:ln w="9525">
        <a:solidFill>
          <a:schemeClr val="lt1">
            <a:lumMod val="95%"/>
            <a:alpha val="54%"/>
          </a:schemeClr>
        </a:solidFill>
        <a:prstDash val="dash"/>
      </a:ln>
    </cs:spPr>
  </cs:hiLoLine>
  <cs:leaderLine>
    <cs:lnRef idx="0"/>
    <cs:fillRef idx="0"/>
    <cs:effectRef idx="0"/>
    <cs:fontRef idx="minor">
      <a:schemeClr val="tx1"/>
    </cs:fontRef>
    <cs:spPr>
      <a:ln w="9525">
        <a:solidFill>
          <a:schemeClr val="lt1">
            <a:lumMod val="95%"/>
            <a:alpha val="54%"/>
          </a:schemeClr>
        </a:solidFill>
      </a:ln>
    </cs:spPr>
  </cs:leaderLine>
  <cs:legend>
    <cs:lnRef idx="0"/>
    <cs:fillRef idx="0"/>
    <cs:effectRef idx="0"/>
    <cs:fontRef idx="minor">
      <a:schemeClr val="lt1">
        <a:lumMod val="85%"/>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
      </a:schemeClr>
    </cs:fontRef>
    <cs:spPr>
      <a:ln w="12700" cap="flat" cmpd="sng" algn="ctr">
        <a:solidFill>
          <a:schemeClr val="lt1">
            <a:lumMod val="95%"/>
            <a:alpha val="54%"/>
          </a:schemeClr>
        </a:solidFill>
        <a:round/>
      </a:ln>
    </cs:spPr>
    <cs:defRPr sz="900" kern="1200"/>
  </cs:seriesAxis>
  <cs:seriesLine>
    <cs:lnRef idx="0"/>
    <cs:fillRef idx="0"/>
    <cs:effectRef idx="0"/>
    <cs:fontRef idx="minor">
      <a:schemeClr val="lt1"/>
    </cs:fontRef>
    <cs:spPr>
      <a:ln w="9525" cap="flat" cmpd="sng" algn="ctr">
        <a:solidFill>
          <a:schemeClr val="lt1">
            <a:lumMod val="95%"/>
            <a:alpha val="54%"/>
          </a:schemeClr>
        </a:solidFill>
        <a:round/>
      </a:ln>
    </cs:spPr>
  </cs:seriesLine>
  <cs:title>
    <cs:lnRef idx="0"/>
    <cs:fillRef idx="0"/>
    <cs:effectRef idx="0"/>
    <cs:fontRef idx="minor">
      <a:schemeClr val="lt1">
        <a:lumMod val="95%"/>
      </a:schemeClr>
    </cs:fontRef>
    <cs:defRPr sz="1600" b="1" kern="1200" spc="100" baseline="0%">
      <a:effectLst>
        <a:outerShdw blurRad="50800" dist="38100" dir="5400000" algn="t" rotWithShape="0">
          <a:prstClr val="black">
            <a:alpha val="4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
      </a:schemeClr>
    </cs:fontRef>
    <cs:defRPr sz="900" kern="1200"/>
  </cs:trendlineLabel>
  <cs:upBar>
    <cs:lnRef idx="0"/>
    <cs:fillRef idx="0"/>
    <cs:effectRef idx="0"/>
    <cs:fontRef idx="minor">
      <a:schemeClr val="tx1"/>
    </cs:fontRef>
    <cs:spPr>
      <a:solidFill>
        <a:schemeClr val="lt1"/>
      </a:solidFill>
      <a:ln w="9525">
        <a:solidFill>
          <a:schemeClr val="lt1">
            <a:lumMod val="95%"/>
            <a:alpha val="54%"/>
          </a:schemeClr>
        </a:solidFill>
      </a:ln>
    </cs:spPr>
  </cs:upBar>
  <cs:valueAxis>
    <cs:lnRef idx="0"/>
    <cs:fillRef idx="0"/>
    <cs:effectRef idx="0"/>
    <cs:fontRef idx="minor">
      <a:schemeClr val="lt1">
        <a:lumMod val="85%"/>
      </a:schemeClr>
    </cs:fontRef>
    <cs:defRPr sz="900" kern="1200"/>
  </cs:valueAxis>
  <cs:wall>
    <cs:lnRef idx="0"/>
    <cs:fillRef idx="0"/>
    <cs:effectRef idx="0"/>
    <cs:fontRef idx="minor">
      <a:schemeClr val="tx1"/>
    </cs:fontRef>
  </cs:wall>
</cs:chartStyle>
</file>

<file path=xl/charts/style12.xml><?xml version="1.0" encoding="utf-8"?>
<cs:chartStyle xmlns:cs="http://schemas.microsoft.com/office/drawing/2012/chartStyle" xmlns:a="http://purl.oclc.org/ooxml/drawingml/main" id="257">
  <cs:axisTitle>
    <cs:lnRef idx="0"/>
    <cs:fillRef idx="0"/>
    <cs:effectRef idx="0"/>
    <cs:fontRef idx="minor">
      <a:schemeClr val="lt1">
        <a:lumMod val="85%"/>
      </a:schemeClr>
    </cs:fontRef>
    <cs:defRPr sz="900" b="1" kern="1200" cap="all"/>
  </cs:axisTitle>
  <cs:categoryAxis>
    <cs:lnRef idx="0"/>
    <cs:fillRef idx="0"/>
    <cs:effectRef idx="0"/>
    <cs:fontRef idx="minor">
      <a:schemeClr val="lt1">
        <a:lumMod val="85%"/>
      </a:schemeClr>
    </cs:fontRef>
    <cs:spPr>
      <a:ln w="12700" cap="flat" cmpd="sng" algn="ctr">
        <a:solidFill>
          <a:schemeClr val="lt1">
            <a:lumMod val="95%"/>
            <a:alpha val="54%"/>
          </a:schemeClr>
        </a:solidFill>
        <a:round/>
      </a:ln>
    </cs:spPr>
    <cs:defRPr sz="900" kern="1200"/>
  </cs:categoryAxis>
  <cs:chartArea>
    <cs:lnRef idx="0"/>
    <cs:fillRef idx="0"/>
    <cs:effectRef idx="0"/>
    <cs:fontRef idx="minor">
      <a:schemeClr val="dk1"/>
    </cs:fontRef>
    <cs:spPr>
      <a:gradFill flip="none" rotWithShape="1">
        <a:gsLst>
          <a:gs pos="0%">
            <a:schemeClr val="dk1">
              <a:lumMod val="65%"/>
              <a:lumOff val="35%"/>
            </a:schemeClr>
          </a:gs>
          <a:gs pos="100%">
            <a:schemeClr val="dk1">
              <a:lumMod val="85%"/>
              <a:lumOff val="15%"/>
            </a:schemeClr>
          </a:gs>
        </a:gsLst>
        <a:path path="circle">
          <a:fillToRect l="50%" t="50%" r="50%" b="50%"/>
        </a:path>
        <a:tileRect/>
      </a:gradFill>
    </cs:spPr>
    <cs:defRPr sz="1000" kern="1200"/>
  </cs:chartArea>
  <cs:dataLabel>
    <cs:lnRef idx="0"/>
    <cs:fillRef idx="0"/>
    <cs:effectRef idx="0"/>
    <cs:fontRef idx="minor">
      <a:schemeClr val="lt1">
        <a:lumMod val="85%"/>
      </a:schemeClr>
    </cs:fontRef>
    <cs:defRPr sz="900" kern="1200"/>
  </cs:dataLabel>
  <cs:dataLabelCallout>
    <cs:lnRef idx="0"/>
    <cs:fillRef idx="0"/>
    <cs:effectRef idx="0"/>
    <cs:fontRef idx="minor">
      <a:schemeClr val="dk1">
        <a:lumMod val="65%"/>
        <a:lumOff val="35%"/>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
      </a:schemeClr>
    </cs:fontRef>
    <cs:spPr>
      <a:ln w="9525">
        <a:solidFill>
          <a:schemeClr val="lt1">
            <a:lumMod val="95%"/>
            <a:alpha val="54%"/>
          </a:schemeClr>
        </a:solidFill>
      </a:ln>
    </cs:spPr>
    <cs:defRPr sz="900" kern="1200"/>
  </cs:dataTable>
  <cs:downBar>
    <cs:lnRef idx="0"/>
    <cs:fillRef idx="0"/>
    <cs:effectRef idx="0"/>
    <cs:fontRef idx="minor">
      <a:schemeClr val="tx1"/>
    </cs:fontRef>
    <cs:spPr>
      <a:solidFill>
        <a:schemeClr val="dk1">
          <a:lumMod val="75%"/>
          <a:lumOff val="25%"/>
        </a:schemeClr>
      </a:solidFill>
      <a:ln w="9525">
        <a:solidFill>
          <a:schemeClr val="lt1">
            <a:lumMod val="95%"/>
            <a:alpha val="54%"/>
          </a:schemeClr>
        </a:solidFill>
      </a:ln>
    </cs:spPr>
  </cs:downBar>
  <cs:dropLine>
    <cs:lnRef idx="0"/>
    <cs:fillRef idx="0"/>
    <cs:effectRef idx="0"/>
    <cs:fontRef idx="minor">
      <a:schemeClr val="tx1"/>
    </cs:fontRef>
    <cs:spPr>
      <a:ln w="9525">
        <a:solidFill>
          <a:schemeClr val="lt1">
            <a:lumMod val="95%"/>
            <a:alpha val="54%"/>
          </a:schemeClr>
        </a:solidFill>
        <a:prstDash val="dash"/>
      </a:ln>
    </cs:spPr>
  </cs:dropLine>
  <cs:errorBar>
    <cs:lnRef idx="0"/>
    <cs:fillRef idx="0"/>
    <cs:effectRef idx="0"/>
    <cs:fontRef idx="minor">
      <a:schemeClr val="tx1"/>
    </cs:fontRef>
    <cs:spPr>
      <a:ln w="9525" cap="flat" cmpd="sng" algn="ctr">
        <a:solidFill>
          <a:schemeClr val="lt1">
            <a:lumMod val="95%"/>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
            <a:alpha val="10%"/>
          </a:schemeClr>
        </a:solidFill>
        <a:round/>
      </a:ln>
    </cs:spPr>
  </cs:gridlineMajor>
  <cs:gridlineMinor>
    <cs:lnRef idx="0"/>
    <cs:fillRef idx="0"/>
    <cs:effectRef idx="0"/>
    <cs:fontRef idx="minor">
      <a:schemeClr val="tx1"/>
    </cs:fontRef>
    <cs:spPr>
      <a:ln>
        <a:solidFill>
          <a:schemeClr val="lt1">
            <a:lumMod val="95%"/>
            <a:alpha val="5%"/>
          </a:schemeClr>
        </a:solidFill>
      </a:ln>
    </cs:spPr>
  </cs:gridlineMinor>
  <cs:hiLoLine>
    <cs:lnRef idx="0"/>
    <cs:fillRef idx="0"/>
    <cs:effectRef idx="0"/>
    <cs:fontRef idx="minor">
      <a:schemeClr val="tx1"/>
    </cs:fontRef>
    <cs:spPr>
      <a:ln w="9525">
        <a:solidFill>
          <a:schemeClr val="lt1">
            <a:lumMod val="95%"/>
            <a:alpha val="54%"/>
          </a:schemeClr>
        </a:solidFill>
        <a:prstDash val="dash"/>
      </a:ln>
    </cs:spPr>
  </cs:hiLoLine>
  <cs:leaderLine>
    <cs:lnRef idx="0"/>
    <cs:fillRef idx="0"/>
    <cs:effectRef idx="0"/>
    <cs:fontRef idx="minor">
      <a:schemeClr val="tx1"/>
    </cs:fontRef>
    <cs:spPr>
      <a:ln w="9525">
        <a:solidFill>
          <a:schemeClr val="lt1">
            <a:lumMod val="95%"/>
            <a:alpha val="54%"/>
          </a:schemeClr>
        </a:solidFill>
      </a:ln>
    </cs:spPr>
  </cs:leaderLine>
  <cs:legend>
    <cs:lnRef idx="0"/>
    <cs:fillRef idx="0"/>
    <cs:effectRef idx="0"/>
    <cs:fontRef idx="minor">
      <a:schemeClr val="lt1">
        <a:lumMod val="85%"/>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
      </a:schemeClr>
    </cs:fontRef>
    <cs:spPr>
      <a:ln w="12700" cap="flat" cmpd="sng" algn="ctr">
        <a:solidFill>
          <a:schemeClr val="lt1">
            <a:lumMod val="95%"/>
            <a:alpha val="54%"/>
          </a:schemeClr>
        </a:solidFill>
        <a:round/>
      </a:ln>
    </cs:spPr>
    <cs:defRPr sz="900" kern="1200"/>
  </cs:seriesAxis>
  <cs:seriesLine>
    <cs:lnRef idx="0"/>
    <cs:fillRef idx="0"/>
    <cs:effectRef idx="0"/>
    <cs:fontRef idx="minor">
      <a:schemeClr val="lt1"/>
    </cs:fontRef>
    <cs:spPr>
      <a:ln w="9525" cap="flat" cmpd="sng" algn="ctr">
        <a:solidFill>
          <a:schemeClr val="lt1">
            <a:lumMod val="95%"/>
            <a:alpha val="54%"/>
          </a:schemeClr>
        </a:solidFill>
        <a:round/>
      </a:ln>
    </cs:spPr>
  </cs:seriesLine>
  <cs:title>
    <cs:lnRef idx="0"/>
    <cs:fillRef idx="0"/>
    <cs:effectRef idx="0"/>
    <cs:fontRef idx="minor">
      <a:schemeClr val="lt1">
        <a:lumMod val="95%"/>
      </a:schemeClr>
    </cs:fontRef>
    <cs:defRPr sz="1600" b="1" kern="1200" spc="100" baseline="0%">
      <a:effectLst>
        <a:outerShdw blurRad="50800" dist="38100" dir="5400000" algn="t" rotWithShape="0">
          <a:prstClr val="black">
            <a:alpha val="4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
      </a:schemeClr>
    </cs:fontRef>
    <cs:defRPr sz="900" kern="1200"/>
  </cs:trendlineLabel>
  <cs:upBar>
    <cs:lnRef idx="0"/>
    <cs:fillRef idx="0"/>
    <cs:effectRef idx="0"/>
    <cs:fontRef idx="minor">
      <a:schemeClr val="tx1"/>
    </cs:fontRef>
    <cs:spPr>
      <a:solidFill>
        <a:schemeClr val="lt1"/>
      </a:solidFill>
      <a:ln w="9525">
        <a:solidFill>
          <a:schemeClr val="lt1">
            <a:lumMod val="95%"/>
            <a:alpha val="54%"/>
          </a:schemeClr>
        </a:solidFill>
      </a:ln>
    </cs:spPr>
  </cs:upBar>
  <cs:valueAxis>
    <cs:lnRef idx="0"/>
    <cs:fillRef idx="0"/>
    <cs:effectRef idx="0"/>
    <cs:fontRef idx="minor">
      <a:schemeClr val="lt1">
        <a:lumMod val="85%"/>
      </a:schemeClr>
    </cs:fontRef>
    <cs:defRPr sz="900" kern="1200"/>
  </cs:valueAxis>
  <cs:wall>
    <cs:lnRef idx="0"/>
    <cs:fillRef idx="0"/>
    <cs:effectRef idx="0"/>
    <cs:fontRef idx="minor">
      <a:schemeClr val="tx1"/>
    </cs:fontRef>
  </cs:wall>
</cs:chartStyle>
</file>

<file path=xl/charts/style13.xml><?xml version="1.0" encoding="utf-8"?>
<cs:chartStyle xmlns:cs="http://schemas.microsoft.com/office/drawing/2012/chartStyle" xmlns:a="http://purl.oclc.org/ooxml/drawingml/main" id="257">
  <cs:axisTitle>
    <cs:lnRef idx="0"/>
    <cs:fillRef idx="0"/>
    <cs:effectRef idx="0"/>
    <cs:fontRef idx="minor">
      <a:schemeClr val="lt1">
        <a:lumMod val="85%"/>
      </a:schemeClr>
    </cs:fontRef>
    <cs:defRPr sz="900" b="1" kern="1200" cap="all"/>
  </cs:axisTitle>
  <cs:categoryAxis>
    <cs:lnRef idx="0"/>
    <cs:fillRef idx="0"/>
    <cs:effectRef idx="0"/>
    <cs:fontRef idx="minor">
      <a:schemeClr val="lt1">
        <a:lumMod val="85%"/>
      </a:schemeClr>
    </cs:fontRef>
    <cs:spPr>
      <a:ln w="12700" cap="flat" cmpd="sng" algn="ctr">
        <a:solidFill>
          <a:schemeClr val="lt1">
            <a:lumMod val="95%"/>
            <a:alpha val="54%"/>
          </a:schemeClr>
        </a:solidFill>
        <a:round/>
      </a:ln>
    </cs:spPr>
    <cs:defRPr sz="900" kern="1200"/>
  </cs:categoryAxis>
  <cs:chartArea>
    <cs:lnRef idx="0"/>
    <cs:fillRef idx="0"/>
    <cs:effectRef idx="0"/>
    <cs:fontRef idx="minor">
      <a:schemeClr val="dk1"/>
    </cs:fontRef>
    <cs:spPr>
      <a:gradFill flip="none" rotWithShape="1">
        <a:gsLst>
          <a:gs pos="0%">
            <a:schemeClr val="dk1">
              <a:lumMod val="65%"/>
              <a:lumOff val="35%"/>
            </a:schemeClr>
          </a:gs>
          <a:gs pos="100%">
            <a:schemeClr val="dk1">
              <a:lumMod val="85%"/>
              <a:lumOff val="15%"/>
            </a:schemeClr>
          </a:gs>
        </a:gsLst>
        <a:path path="circle">
          <a:fillToRect l="50%" t="50%" r="50%" b="50%"/>
        </a:path>
        <a:tileRect/>
      </a:gradFill>
    </cs:spPr>
    <cs:defRPr sz="1000" kern="1200"/>
  </cs:chartArea>
  <cs:dataLabel>
    <cs:lnRef idx="0"/>
    <cs:fillRef idx="0"/>
    <cs:effectRef idx="0"/>
    <cs:fontRef idx="minor">
      <a:schemeClr val="lt1">
        <a:lumMod val="85%"/>
      </a:schemeClr>
    </cs:fontRef>
    <cs:defRPr sz="900" kern="1200"/>
  </cs:dataLabel>
  <cs:dataLabelCallout>
    <cs:lnRef idx="0"/>
    <cs:fillRef idx="0"/>
    <cs:effectRef idx="0"/>
    <cs:fontRef idx="minor">
      <a:schemeClr val="dk1">
        <a:lumMod val="65%"/>
        <a:lumOff val="35%"/>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
      </a:schemeClr>
    </cs:fontRef>
    <cs:spPr>
      <a:ln w="9525">
        <a:solidFill>
          <a:schemeClr val="lt1">
            <a:lumMod val="95%"/>
            <a:alpha val="54%"/>
          </a:schemeClr>
        </a:solidFill>
      </a:ln>
    </cs:spPr>
    <cs:defRPr sz="900" kern="1200"/>
  </cs:dataTable>
  <cs:downBar>
    <cs:lnRef idx="0"/>
    <cs:fillRef idx="0"/>
    <cs:effectRef idx="0"/>
    <cs:fontRef idx="minor">
      <a:schemeClr val="tx1"/>
    </cs:fontRef>
    <cs:spPr>
      <a:solidFill>
        <a:schemeClr val="dk1">
          <a:lumMod val="75%"/>
          <a:lumOff val="25%"/>
        </a:schemeClr>
      </a:solidFill>
      <a:ln w="9525">
        <a:solidFill>
          <a:schemeClr val="lt1">
            <a:lumMod val="95%"/>
            <a:alpha val="54%"/>
          </a:schemeClr>
        </a:solidFill>
      </a:ln>
    </cs:spPr>
  </cs:downBar>
  <cs:dropLine>
    <cs:lnRef idx="0"/>
    <cs:fillRef idx="0"/>
    <cs:effectRef idx="0"/>
    <cs:fontRef idx="minor">
      <a:schemeClr val="tx1"/>
    </cs:fontRef>
    <cs:spPr>
      <a:ln w="9525">
        <a:solidFill>
          <a:schemeClr val="lt1">
            <a:lumMod val="95%"/>
            <a:alpha val="54%"/>
          </a:schemeClr>
        </a:solidFill>
        <a:prstDash val="dash"/>
      </a:ln>
    </cs:spPr>
  </cs:dropLine>
  <cs:errorBar>
    <cs:lnRef idx="0"/>
    <cs:fillRef idx="0"/>
    <cs:effectRef idx="0"/>
    <cs:fontRef idx="minor">
      <a:schemeClr val="tx1"/>
    </cs:fontRef>
    <cs:spPr>
      <a:ln w="9525" cap="flat" cmpd="sng" algn="ctr">
        <a:solidFill>
          <a:schemeClr val="lt1">
            <a:lumMod val="95%"/>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
            <a:alpha val="10%"/>
          </a:schemeClr>
        </a:solidFill>
        <a:round/>
      </a:ln>
    </cs:spPr>
  </cs:gridlineMajor>
  <cs:gridlineMinor>
    <cs:lnRef idx="0"/>
    <cs:fillRef idx="0"/>
    <cs:effectRef idx="0"/>
    <cs:fontRef idx="minor">
      <a:schemeClr val="tx1"/>
    </cs:fontRef>
    <cs:spPr>
      <a:ln>
        <a:solidFill>
          <a:schemeClr val="lt1">
            <a:lumMod val="95%"/>
            <a:alpha val="5%"/>
          </a:schemeClr>
        </a:solidFill>
      </a:ln>
    </cs:spPr>
  </cs:gridlineMinor>
  <cs:hiLoLine>
    <cs:lnRef idx="0"/>
    <cs:fillRef idx="0"/>
    <cs:effectRef idx="0"/>
    <cs:fontRef idx="minor">
      <a:schemeClr val="tx1"/>
    </cs:fontRef>
    <cs:spPr>
      <a:ln w="9525">
        <a:solidFill>
          <a:schemeClr val="lt1">
            <a:lumMod val="95%"/>
            <a:alpha val="54%"/>
          </a:schemeClr>
        </a:solidFill>
        <a:prstDash val="dash"/>
      </a:ln>
    </cs:spPr>
  </cs:hiLoLine>
  <cs:leaderLine>
    <cs:lnRef idx="0"/>
    <cs:fillRef idx="0"/>
    <cs:effectRef idx="0"/>
    <cs:fontRef idx="minor">
      <a:schemeClr val="tx1"/>
    </cs:fontRef>
    <cs:spPr>
      <a:ln w="9525">
        <a:solidFill>
          <a:schemeClr val="lt1">
            <a:lumMod val="95%"/>
            <a:alpha val="54%"/>
          </a:schemeClr>
        </a:solidFill>
      </a:ln>
    </cs:spPr>
  </cs:leaderLine>
  <cs:legend>
    <cs:lnRef idx="0"/>
    <cs:fillRef idx="0"/>
    <cs:effectRef idx="0"/>
    <cs:fontRef idx="minor">
      <a:schemeClr val="lt1">
        <a:lumMod val="85%"/>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
      </a:schemeClr>
    </cs:fontRef>
    <cs:spPr>
      <a:ln w="12700" cap="flat" cmpd="sng" algn="ctr">
        <a:solidFill>
          <a:schemeClr val="lt1">
            <a:lumMod val="95%"/>
            <a:alpha val="54%"/>
          </a:schemeClr>
        </a:solidFill>
        <a:round/>
      </a:ln>
    </cs:spPr>
    <cs:defRPr sz="900" kern="1200"/>
  </cs:seriesAxis>
  <cs:seriesLine>
    <cs:lnRef idx="0"/>
    <cs:fillRef idx="0"/>
    <cs:effectRef idx="0"/>
    <cs:fontRef idx="minor">
      <a:schemeClr val="lt1"/>
    </cs:fontRef>
    <cs:spPr>
      <a:ln w="9525" cap="flat" cmpd="sng" algn="ctr">
        <a:solidFill>
          <a:schemeClr val="lt1">
            <a:lumMod val="95%"/>
            <a:alpha val="54%"/>
          </a:schemeClr>
        </a:solidFill>
        <a:round/>
      </a:ln>
    </cs:spPr>
  </cs:seriesLine>
  <cs:title>
    <cs:lnRef idx="0"/>
    <cs:fillRef idx="0"/>
    <cs:effectRef idx="0"/>
    <cs:fontRef idx="minor">
      <a:schemeClr val="lt1">
        <a:lumMod val="95%"/>
      </a:schemeClr>
    </cs:fontRef>
    <cs:defRPr sz="1600" b="1" kern="1200" spc="100" baseline="0%">
      <a:effectLst>
        <a:outerShdw blurRad="50800" dist="38100" dir="5400000" algn="t" rotWithShape="0">
          <a:prstClr val="black">
            <a:alpha val="4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
      </a:schemeClr>
    </cs:fontRef>
    <cs:defRPr sz="900" kern="1200"/>
  </cs:trendlineLabel>
  <cs:upBar>
    <cs:lnRef idx="0"/>
    <cs:fillRef idx="0"/>
    <cs:effectRef idx="0"/>
    <cs:fontRef idx="minor">
      <a:schemeClr val="tx1"/>
    </cs:fontRef>
    <cs:spPr>
      <a:solidFill>
        <a:schemeClr val="lt1"/>
      </a:solidFill>
      <a:ln w="9525">
        <a:solidFill>
          <a:schemeClr val="lt1">
            <a:lumMod val="95%"/>
            <a:alpha val="54%"/>
          </a:schemeClr>
        </a:solidFill>
      </a:ln>
    </cs:spPr>
  </cs:upBar>
  <cs:valueAxis>
    <cs:lnRef idx="0"/>
    <cs:fillRef idx="0"/>
    <cs:effectRef idx="0"/>
    <cs:fontRef idx="minor">
      <a:schemeClr val="lt1">
        <a:lumMod val="85%"/>
      </a:schemeClr>
    </cs:fontRef>
    <cs:defRPr sz="900" kern="1200"/>
  </cs:valueAxis>
  <cs:wall>
    <cs:lnRef idx="0"/>
    <cs:fillRef idx="0"/>
    <cs:effectRef idx="0"/>
    <cs:fontRef idx="minor">
      <a:schemeClr val="tx1"/>
    </cs:fontRef>
  </cs:wall>
</cs:chartStyle>
</file>

<file path=xl/charts/style14.xml><?xml version="1.0" encoding="utf-8"?>
<cs:chartStyle xmlns:cs="http://schemas.microsoft.com/office/drawing/2012/chartStyle" xmlns:a="http://purl.oclc.org/ooxml/drawingml/main" id="209">
  <cs:axisTitle>
    <cs:lnRef idx="0"/>
    <cs:fillRef idx="0"/>
    <cs:effectRef idx="0"/>
    <cs:fontRef idx="minor">
      <a:schemeClr val="lt1">
        <a:lumMod val="85%"/>
      </a:schemeClr>
    </cs:fontRef>
    <cs:defRPr sz="900" b="1" kern="1200" cap="all"/>
  </cs:axisTitle>
  <cs:categoryAxis>
    <cs:lnRef idx="0"/>
    <cs:fillRef idx="0"/>
    <cs:effectRef idx="0"/>
    <cs:fontRef idx="minor">
      <a:schemeClr val="lt1">
        <a:lumMod val="85%"/>
      </a:schemeClr>
    </cs:fontRef>
    <cs:spPr>
      <a:ln w="12700" cap="flat" cmpd="sng" algn="ctr">
        <a:solidFill>
          <a:schemeClr val="lt1">
            <a:lumMod val="95%"/>
            <a:alpha val="54%"/>
          </a:schemeClr>
        </a:solidFill>
        <a:round/>
      </a:ln>
    </cs:spPr>
    <cs:defRPr sz="900" kern="1200"/>
  </cs:categoryAxis>
  <cs:chartArea>
    <cs:lnRef idx="0"/>
    <cs:fillRef idx="0"/>
    <cs:effectRef idx="0"/>
    <cs:fontRef idx="minor">
      <a:schemeClr val="dk1"/>
    </cs:fontRef>
    <cs:spPr>
      <a:gradFill flip="none" rotWithShape="1">
        <a:gsLst>
          <a:gs pos="0%">
            <a:schemeClr val="dk1">
              <a:lumMod val="65%"/>
              <a:lumOff val="35%"/>
            </a:schemeClr>
          </a:gs>
          <a:gs pos="100%">
            <a:schemeClr val="dk1">
              <a:lumMod val="85%"/>
              <a:lumOff val="15%"/>
            </a:schemeClr>
          </a:gs>
        </a:gsLst>
        <a:path path="circle">
          <a:fillToRect l="50%" t="50%" r="50%" b="50%"/>
        </a:path>
        <a:tileRect/>
      </a:gradFill>
    </cs:spPr>
    <cs:defRPr sz="1000" kern="1200"/>
  </cs:chartArea>
  <cs:dataLabel>
    <cs:lnRef idx="0"/>
    <cs:fillRef idx="0"/>
    <cs:effectRef idx="0"/>
    <cs:fontRef idx="minor">
      <a:schemeClr val="lt1">
        <a:lumMod val="85%"/>
      </a:schemeClr>
    </cs:fontRef>
    <cs:defRPr sz="900" kern="1200"/>
  </cs:dataLabel>
  <cs:dataLabelCallout>
    <cs:lnRef idx="0"/>
    <cs:fillRef idx="0"/>
    <cs:effectRef idx="0"/>
    <cs:fontRef idx="minor">
      <a:schemeClr val="dk1">
        <a:lumMod val="65%"/>
        <a:lumOff val="35%"/>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
      </a:schemeClr>
    </cs:fontRef>
    <cs:spPr>
      <a:ln w="9525">
        <a:solidFill>
          <a:schemeClr val="lt1">
            <a:lumMod val="95%"/>
            <a:alpha val="54%"/>
          </a:schemeClr>
        </a:solidFill>
      </a:ln>
    </cs:spPr>
    <cs:defRPr sz="900" kern="1200"/>
  </cs:dataTable>
  <cs:downBar>
    <cs:lnRef idx="0"/>
    <cs:fillRef idx="0"/>
    <cs:effectRef idx="0"/>
    <cs:fontRef idx="minor">
      <a:schemeClr val="lt1"/>
    </cs:fontRef>
    <cs:spPr>
      <a:solidFill>
        <a:schemeClr val="dk1">
          <a:lumMod val="75%"/>
          <a:lumOff val="25%"/>
        </a:schemeClr>
      </a:solidFill>
      <a:ln w="9525">
        <a:solidFill>
          <a:schemeClr val="lt1">
            <a:lumMod val="95%"/>
            <a:alpha val="54%"/>
          </a:schemeClr>
        </a:solidFill>
      </a:ln>
    </cs:spPr>
  </cs:downBar>
  <cs:dropLine>
    <cs:lnRef idx="0"/>
    <cs:fillRef idx="0"/>
    <cs:effectRef idx="0"/>
    <cs:fontRef idx="minor">
      <a:schemeClr val="lt1"/>
    </cs:fontRef>
    <cs:spPr>
      <a:ln w="9525">
        <a:solidFill>
          <a:schemeClr val="lt1">
            <a:lumMod val="95%"/>
            <a:alpha val="54%"/>
          </a:schemeClr>
        </a:solidFill>
        <a:prstDash val="dash"/>
      </a:ln>
    </cs:spPr>
  </cs:dropLine>
  <cs:errorBar>
    <cs:lnRef idx="0"/>
    <cs:fillRef idx="0"/>
    <cs:effectRef idx="0"/>
    <cs:fontRef idx="minor">
      <a:schemeClr val="lt1"/>
    </cs:fontRef>
    <cs:spPr>
      <a:ln w="9525" cap="flat" cmpd="sng" algn="ctr">
        <a:solidFill>
          <a:schemeClr val="lt1">
            <a:lumMod val="95%"/>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
            <a:alpha val="10%"/>
          </a:schemeClr>
        </a:solidFill>
        <a:round/>
      </a:ln>
    </cs:spPr>
  </cs:gridlineMajor>
  <cs:gridlineMinor>
    <cs:lnRef idx="0"/>
    <cs:fillRef idx="0"/>
    <cs:effectRef idx="0"/>
    <cs:fontRef idx="minor">
      <a:schemeClr val="lt1"/>
    </cs:fontRef>
    <cs:spPr>
      <a:ln>
        <a:solidFill>
          <a:schemeClr val="lt1">
            <a:lumMod val="95%"/>
            <a:alpha val="5%"/>
          </a:schemeClr>
        </a:solidFill>
      </a:ln>
    </cs:spPr>
  </cs:gridlineMinor>
  <cs:hiLoLine>
    <cs:lnRef idx="0"/>
    <cs:fillRef idx="0"/>
    <cs:effectRef idx="0"/>
    <cs:fontRef idx="minor">
      <a:schemeClr val="lt1"/>
    </cs:fontRef>
    <cs:spPr>
      <a:ln w="9525">
        <a:solidFill>
          <a:schemeClr val="lt1">
            <a:lumMod val="95%"/>
            <a:alpha val="54%"/>
          </a:schemeClr>
        </a:solidFill>
        <a:prstDash val="dash"/>
      </a:ln>
    </cs:spPr>
  </cs:hiLoLine>
  <cs:leaderLine>
    <cs:lnRef idx="0"/>
    <cs:fillRef idx="0"/>
    <cs:effectRef idx="0"/>
    <cs:fontRef idx="minor">
      <a:schemeClr val="lt1"/>
    </cs:fontRef>
    <cs:spPr>
      <a:ln w="9525">
        <a:solidFill>
          <a:schemeClr val="lt1">
            <a:lumMod val="95%"/>
            <a:alpha val="54%"/>
          </a:schemeClr>
        </a:solidFill>
      </a:ln>
    </cs:spPr>
  </cs:leaderLine>
  <cs:legend>
    <cs:lnRef idx="0"/>
    <cs:fillRef idx="0"/>
    <cs:effectRef idx="0"/>
    <cs:fontRef idx="minor">
      <a:schemeClr val="lt1">
        <a:lumMod val="85%"/>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
      </a:schemeClr>
    </cs:fontRef>
    <cs:spPr>
      <a:ln w="12700" cap="flat" cmpd="sng" algn="ctr">
        <a:solidFill>
          <a:schemeClr val="lt1">
            <a:lumMod val="95%"/>
            <a:alpha val="54%"/>
          </a:schemeClr>
        </a:solidFill>
        <a:round/>
      </a:ln>
    </cs:spPr>
    <cs:defRPr sz="900" kern="1200"/>
  </cs:seriesAxis>
  <cs:seriesLine>
    <cs:lnRef idx="0"/>
    <cs:fillRef idx="0"/>
    <cs:effectRef idx="0"/>
    <cs:fontRef idx="minor">
      <a:schemeClr val="lt1"/>
    </cs:fontRef>
    <cs:spPr>
      <a:ln w="9525" cap="flat" cmpd="sng" algn="ctr">
        <a:solidFill>
          <a:schemeClr val="lt1">
            <a:lumMod val="95%"/>
            <a:alpha val="54%"/>
          </a:schemeClr>
        </a:solidFill>
        <a:round/>
      </a:ln>
    </cs:spPr>
  </cs:seriesLine>
  <cs:title>
    <cs:lnRef idx="0"/>
    <cs:fillRef idx="0"/>
    <cs:effectRef idx="0"/>
    <cs:fontRef idx="minor">
      <a:schemeClr val="lt1">
        <a:lumMod val="95%"/>
      </a:schemeClr>
    </cs:fontRef>
    <cs:defRPr sz="1600" b="1" kern="1200" spc="100" baseline="0%">
      <a:effectLst>
        <a:outerShdw blurRad="50800" dist="38100" dir="5400000" algn="t" rotWithShape="0">
          <a:prstClr val="black">
            <a:alpha val="4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
      </a:schemeClr>
    </cs:fontRef>
    <cs:defRPr sz="900" kern="1200"/>
  </cs:trendlineLabel>
  <cs:upBar>
    <cs:lnRef idx="0"/>
    <cs:fillRef idx="0"/>
    <cs:effectRef idx="0"/>
    <cs:fontRef idx="minor">
      <a:schemeClr val="lt1"/>
    </cs:fontRef>
    <cs:spPr>
      <a:solidFill>
        <a:schemeClr val="lt1"/>
      </a:solidFill>
      <a:ln w="9525">
        <a:solidFill>
          <a:schemeClr val="lt1">
            <a:lumMod val="95%"/>
            <a:alpha val="54%"/>
          </a:schemeClr>
        </a:solidFill>
      </a:ln>
    </cs:spPr>
  </cs:upBar>
  <cs:valueAxis>
    <cs:lnRef idx="0"/>
    <cs:fillRef idx="0"/>
    <cs:effectRef idx="0"/>
    <cs:fontRef idx="minor">
      <a:schemeClr val="lt1">
        <a:lumMod val="85%"/>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purl.oclc.org/ooxml/officeDocument/relationships/chart" Target="../charts/chart1.xml"/></Relationships>
</file>

<file path=xl/drawings/_rels/drawing2.xml.rels><?xml version="1.0" encoding="UTF-8" standalone="yes"?>
<Relationships xmlns="http://schemas.openxmlformats.org/package/2006/relationships"><Relationship Id="rId1" Type="http://purl.oclc.org/ooxml/officeDocument/relationships/chart" Target="../charts/chart2.xml"/></Relationships>
</file>

<file path=xl/drawings/_rels/drawing3.xml.rels><?xml version="1.0" encoding="UTF-8" standalone="yes"?>
<Relationships xmlns="http://schemas.openxmlformats.org/package/2006/relationships"><Relationship Id="rId1" Type="http://purl.oclc.org/ooxml/officeDocument/relationships/chart" Target="../charts/chart3.xml"/></Relationships>
</file>

<file path=xl/drawings/_rels/drawing4.xml.rels><?xml version="1.0" encoding="UTF-8" standalone="yes"?>
<Relationships xmlns="http://schemas.openxmlformats.org/package/2006/relationships"><Relationship Id="rId1" Type="http://purl.oclc.org/ooxml/officeDocument/relationships/chart" Target="../charts/chart4.xml"/></Relationships>
</file>

<file path=xl/drawings/_rels/drawing5.xml.rels><?xml version="1.0" encoding="UTF-8" standalone="yes"?>
<Relationships xmlns="http://schemas.openxmlformats.org/package/2006/relationships"><Relationship Id="rId1" Type="http://purl.oclc.org/ooxml/officeDocument/relationships/chart" Target="../charts/chart5.xml"/></Relationships>
</file>

<file path=xl/drawings/_rels/drawing6.xml.rels><?xml version="1.0" encoding="UTF-8" standalone="yes"?>
<Relationships xmlns="http://schemas.openxmlformats.org/package/2006/relationships"><Relationship Id="rId1" Type="http://purl.oclc.org/ooxml/officeDocument/relationships/chart" Target="../charts/chart6.xml"/></Relationships>
</file>

<file path=xl/drawings/_rels/drawing7.xml.rels><?xml version="1.0" encoding="UTF-8" standalone="yes"?>
<Relationships xmlns="http://schemas.openxmlformats.org/package/2006/relationships"><Relationship Id="rId1" Type="http://purl.oclc.org/ooxml/officeDocument/relationships/chart" Target="../charts/chart7.xml"/></Relationships>
</file>

<file path=xl/drawings/_rels/drawing8.xml.rels><?xml version="1.0" encoding="UTF-8" standalone="yes"?>
<Relationships xmlns="http://schemas.openxmlformats.org/package/2006/relationships"><Relationship Id="rId3" Type="http://purl.oclc.org/ooxml/officeDocument/relationships/chart" Target="../charts/chart10.xml"/><Relationship Id="rId7" Type="http://purl.oclc.org/ooxml/officeDocument/relationships/chart" Target="../charts/chart14.xml"/><Relationship Id="rId2" Type="http://purl.oclc.org/ooxml/officeDocument/relationships/chart" Target="../charts/chart9.xml"/><Relationship Id="rId1" Type="http://purl.oclc.org/ooxml/officeDocument/relationships/chart" Target="../charts/chart8.xml"/><Relationship Id="rId6" Type="http://purl.oclc.org/ooxml/officeDocument/relationships/chart" Target="../charts/chart13.xml"/><Relationship Id="rId5" Type="http://purl.oclc.org/ooxml/officeDocument/relationships/chart" Target="../charts/chart12.xml"/><Relationship Id="rId4" Type="http://purl.oclc.org/ooxml/officeDocument/relationships/chart" Target="../charts/chart11.xml"/></Relationships>
</file>

<file path=xl/drawings/drawing1.xml><?xml version="1.0" encoding="utf-8"?>
<xdr:wsDr xmlns:xdr="http://purl.oclc.org/ooxml/drawingml/spreadsheetDrawing" xmlns:a="http://purl.oclc.org/ooxml/drawingml/main">
  <xdr:twoCellAnchor>
    <xdr:from>
      <xdr:col>2</xdr:col>
      <xdr:colOff>127000</xdr:colOff>
      <xdr:row>1</xdr:row>
      <xdr:rowOff>114300</xdr:rowOff>
    </xdr:from>
    <xdr:to>
      <xdr:col>9</xdr:col>
      <xdr:colOff>431800</xdr:colOff>
      <xdr:row>16</xdr:row>
      <xdr:rowOff>95250</xdr:rowOff>
    </xdr:to>
    <xdr:graphicFrame macro="">
      <xdr:nvGraphicFramePr>
        <xdr:cNvPr id="2" name="Total Sales by Category">
          <a:extLst>
            <a:ext uri="{FF2B5EF4-FFF2-40B4-BE49-F238E27FC236}">
              <a16:creationId xmlns:a16="http://schemas.microsoft.com/office/drawing/2014/main" id="{FA1C9535-BE81-4923-B00D-12DDA13F20CF}"/>
            </a:ext>
          </a:extLst>
        </xdr:cNvPr>
        <xdr:cNvGraphicFramePr/>
      </xdr:nvGraphicFramePr>
      <xdr:xfrm>
        <a:off x="0" y="0"/>
        <a:ext cx="0" cy="0"/>
      </xdr:xfrm>
      <a:graphic>
        <a:graphicData uri="http://purl.oclc.org/ooxml/drawingml/chart">
          <c:chart xmlns:c="http://purl.oclc.org/ooxml/drawingml/chart" xmlns:r="http://purl.oclc.org/ooxml/officeDocument/relationships" r:id="rId1"/>
        </a:graphicData>
      </a:graphic>
    </xdr:graphicFrame>
    <xdr:clientData/>
  </xdr:twoCellAnchor>
  <xdr:twoCellAnchor editAs="oneCell">
    <xdr:from>
      <xdr:col>14</xdr:col>
      <xdr:colOff>95250</xdr:colOff>
      <xdr:row>5</xdr:row>
      <xdr:rowOff>165100</xdr:rowOff>
    </xdr:from>
    <xdr:to>
      <xdr:col>17</xdr:col>
      <xdr:colOff>95250</xdr:colOff>
      <xdr:row>19</xdr:row>
      <xdr:rowOff>111125</xdr:rowOff>
    </xdr:to>
    <mc:AlternateContent xmlns:mc="http://schemas.openxmlformats.org/markup-compatibility/2006">
      <mc:Choice xmlns:a14="http://schemas.microsoft.com/office/drawing/2010/main" Requires="a14">
        <xdr:graphicFrame macro="">
          <xdr:nvGraphicFramePr>
            <xdr:cNvPr id="3" name="Category">
              <a:extLst>
                <a:ext uri="{FF2B5EF4-FFF2-40B4-BE49-F238E27FC236}">
                  <a16:creationId xmlns:a16="http://schemas.microsoft.com/office/drawing/2014/main" id="{A53249AE-DF2B-4C0B-BA91-66574D818C5E}"/>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9950450" y="10858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12700</xdr:colOff>
      <xdr:row>5</xdr:row>
      <xdr:rowOff>177800</xdr:rowOff>
    </xdr:from>
    <xdr:to>
      <xdr:col>14</xdr:col>
      <xdr:colOff>12700</xdr:colOff>
      <xdr:row>19</xdr:row>
      <xdr:rowOff>123825</xdr:rowOff>
    </xdr:to>
    <mc:AlternateContent xmlns:mc="http://schemas.openxmlformats.org/markup-compatibility/2006">
      <mc:Choice xmlns:a14="http://schemas.microsoft.com/office/drawing/2010/main" Requires="a14">
        <xdr:graphicFrame macro="">
          <xdr:nvGraphicFramePr>
            <xdr:cNvPr id="4" name="Total Sales">
              <a:extLst>
                <a:ext uri="{FF2B5EF4-FFF2-40B4-BE49-F238E27FC236}">
                  <a16:creationId xmlns:a16="http://schemas.microsoft.com/office/drawing/2014/main" id="{180B4CCD-57A2-4DD7-9CB7-B68BC73A3857}"/>
                </a:ext>
              </a:extLst>
            </xdr:cNvPr>
            <xdr:cNvGraphicFramePr/>
          </xdr:nvGraphicFramePr>
          <xdr:xfrm>
            <a:off x="0" y="0"/>
            <a:ext cx="0" cy="0"/>
          </xdr:xfrm>
          <a:graphic>
            <a:graphicData uri="http://schemas.microsoft.com/office/drawing/2010/slicer">
              <sle:slicer xmlns:sle="http://schemas.microsoft.com/office/drawing/2010/slicer" name="Total Sales"/>
            </a:graphicData>
          </a:graphic>
        </xdr:graphicFrame>
      </mc:Choice>
      <mc:Fallback>
        <xdr:sp macro="" textlink="">
          <xdr:nvSpPr>
            <xdr:cNvPr id="0" name=""/>
            <xdr:cNvSpPr>
              <a:spLocks noTextEdit="1"/>
            </xdr:cNvSpPr>
          </xdr:nvSpPr>
          <xdr:spPr>
            <a:xfrm>
              <a:off x="8039100" y="10985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purl.oclc.org/ooxml/drawingml/spreadsheetDrawing" xmlns:a="http://purl.oclc.org/ooxml/drawingml/main">
  <xdr:twoCellAnchor>
    <xdr:from>
      <xdr:col>2</xdr:col>
      <xdr:colOff>120650</xdr:colOff>
      <xdr:row>1</xdr:row>
      <xdr:rowOff>165100</xdr:rowOff>
    </xdr:from>
    <xdr:to>
      <xdr:col>9</xdr:col>
      <xdr:colOff>425450</xdr:colOff>
      <xdr:row>16</xdr:row>
      <xdr:rowOff>146050</xdr:rowOff>
    </xdr:to>
    <xdr:graphicFrame macro="">
      <xdr:nvGraphicFramePr>
        <xdr:cNvPr id="2" name="Chart 1">
          <a:extLst>
            <a:ext uri="{FF2B5EF4-FFF2-40B4-BE49-F238E27FC236}">
              <a16:creationId xmlns:a16="http://schemas.microsoft.com/office/drawing/2014/main" id="{520E88A9-5C37-4E61-8DD2-3A976CD9B905}"/>
            </a:ext>
          </a:extLst>
        </xdr:cNvPr>
        <xdr:cNvGraphicFramePr/>
      </xdr:nvGraphicFramePr>
      <xdr:xfrm>
        <a:off x="0" y="0"/>
        <a:ext cx="0" cy="0"/>
      </xdr:xfrm>
      <a:graphic>
        <a:graphicData uri="http://purl.oclc.org/ooxml/drawingml/chart">
          <c:chart xmlns:c="http://purl.oclc.org/ooxml/drawingml/chart" xmlns:r="http://purl.oclc.org/ooxml/officeDocument/relationships" r:id="rId1"/>
        </a:graphicData>
      </a:graphic>
    </xdr:graphicFrame>
    <xdr:clientData/>
  </xdr:twoCellAnchor>
</xdr:wsDr>
</file>

<file path=xl/drawings/drawing3.xml><?xml version="1.0" encoding="utf-8"?>
<xdr:wsDr xmlns:xdr="http://purl.oclc.org/ooxml/drawingml/spreadsheetDrawing" xmlns:a="http://purl.oclc.org/ooxml/drawingml/main">
  <xdr:twoCellAnchor>
    <xdr:from>
      <xdr:col>2</xdr:col>
      <xdr:colOff>19050</xdr:colOff>
      <xdr:row>1</xdr:row>
      <xdr:rowOff>171450</xdr:rowOff>
    </xdr:from>
    <xdr:to>
      <xdr:col>9</xdr:col>
      <xdr:colOff>323850</xdr:colOff>
      <xdr:row>16</xdr:row>
      <xdr:rowOff>152400</xdr:rowOff>
    </xdr:to>
    <xdr:graphicFrame macro="">
      <xdr:nvGraphicFramePr>
        <xdr:cNvPr id="2" name="Chart 1">
          <a:extLst>
            <a:ext uri="{FF2B5EF4-FFF2-40B4-BE49-F238E27FC236}">
              <a16:creationId xmlns:a16="http://schemas.microsoft.com/office/drawing/2014/main" id="{F294D4F3-20CB-4F9E-A9FC-FEACF3E8BE3F}"/>
            </a:ext>
          </a:extLst>
        </xdr:cNvPr>
        <xdr:cNvGraphicFramePr/>
      </xdr:nvGraphicFramePr>
      <xdr:xfrm>
        <a:off x="0" y="0"/>
        <a:ext cx="0" cy="0"/>
      </xdr:xfrm>
      <a:graphic>
        <a:graphicData uri="http://purl.oclc.org/ooxml/drawingml/chart">
          <c:chart xmlns:c="http://purl.oclc.org/ooxml/drawingml/chart" xmlns:r="http://purl.oclc.org/ooxml/officeDocument/relationships" r:id="rId1"/>
        </a:graphicData>
      </a:graphic>
    </xdr:graphicFrame>
    <xdr:clientData/>
  </xdr:twoCellAnchor>
</xdr:wsDr>
</file>

<file path=xl/drawings/drawing4.xml><?xml version="1.0" encoding="utf-8"?>
<xdr:wsDr xmlns:xdr="http://purl.oclc.org/ooxml/drawingml/spreadsheetDrawing" xmlns:a="http://purl.oclc.org/ooxml/drawingml/main">
  <xdr:twoCellAnchor>
    <xdr:from>
      <xdr:col>2</xdr:col>
      <xdr:colOff>133350</xdr:colOff>
      <xdr:row>1</xdr:row>
      <xdr:rowOff>142875</xdr:rowOff>
    </xdr:from>
    <xdr:to>
      <xdr:col>9</xdr:col>
      <xdr:colOff>438150</xdr:colOff>
      <xdr:row>16</xdr:row>
      <xdr:rowOff>123825</xdr:rowOff>
    </xdr:to>
    <xdr:graphicFrame macro="">
      <xdr:nvGraphicFramePr>
        <xdr:cNvPr id="2" name="Chart 1">
          <a:extLst>
            <a:ext uri="{FF2B5EF4-FFF2-40B4-BE49-F238E27FC236}">
              <a16:creationId xmlns:a16="http://schemas.microsoft.com/office/drawing/2014/main" id="{1067E8AC-0E57-48B3-BA23-6D4ACC98492F}"/>
            </a:ext>
          </a:extLst>
        </xdr:cNvPr>
        <xdr:cNvGraphicFramePr/>
      </xdr:nvGraphicFramePr>
      <xdr:xfrm>
        <a:off x="0" y="0"/>
        <a:ext cx="0" cy="0"/>
      </xdr:xfrm>
      <a:graphic>
        <a:graphicData uri="http://purl.oclc.org/ooxml/drawingml/chart">
          <c:chart xmlns:c="http://purl.oclc.org/ooxml/drawingml/chart" xmlns:r="http://purl.oclc.org/ooxml/officeDocument/relationships" r:id="rId1"/>
        </a:graphicData>
      </a:graphic>
    </xdr:graphicFrame>
    <xdr:clientData/>
  </xdr:twoCellAnchor>
</xdr:wsDr>
</file>

<file path=xl/drawings/drawing5.xml><?xml version="1.0" encoding="utf-8"?>
<xdr:wsDr xmlns:xdr="http://purl.oclc.org/ooxml/drawingml/spreadsheetDrawing" xmlns:a="http://purl.oclc.org/ooxml/drawingml/main">
  <xdr:twoCellAnchor>
    <xdr:from>
      <xdr:col>2</xdr:col>
      <xdr:colOff>368300</xdr:colOff>
      <xdr:row>1</xdr:row>
      <xdr:rowOff>136525</xdr:rowOff>
    </xdr:from>
    <xdr:to>
      <xdr:col>10</xdr:col>
      <xdr:colOff>63500</xdr:colOff>
      <xdr:row>16</xdr:row>
      <xdr:rowOff>117475</xdr:rowOff>
    </xdr:to>
    <xdr:graphicFrame macro="">
      <xdr:nvGraphicFramePr>
        <xdr:cNvPr id="2" name="Chart 1">
          <a:extLst>
            <a:ext uri="{FF2B5EF4-FFF2-40B4-BE49-F238E27FC236}">
              <a16:creationId xmlns:a16="http://schemas.microsoft.com/office/drawing/2014/main" id="{F33BE1A0-EAC2-4001-8EF7-6FA6EC564263}"/>
            </a:ext>
          </a:extLst>
        </xdr:cNvPr>
        <xdr:cNvGraphicFramePr/>
      </xdr:nvGraphicFramePr>
      <xdr:xfrm>
        <a:off x="0" y="0"/>
        <a:ext cx="0" cy="0"/>
      </xdr:xfrm>
      <a:graphic>
        <a:graphicData uri="http://purl.oclc.org/ooxml/drawingml/chart">
          <c:chart xmlns:c="http://purl.oclc.org/ooxml/drawingml/chart" xmlns:r="http://purl.oclc.org/ooxml/officeDocument/relationships" r:id="rId1"/>
        </a:graphicData>
      </a:graphic>
    </xdr:graphicFrame>
    <xdr:clientData/>
  </xdr:twoCellAnchor>
</xdr:wsDr>
</file>

<file path=xl/drawings/drawing6.xml><?xml version="1.0" encoding="utf-8"?>
<xdr:wsDr xmlns:xdr="http://purl.oclc.org/ooxml/drawingml/spreadsheetDrawing" xmlns:a="http://purl.oclc.org/ooxml/drawingml/main">
  <xdr:twoCellAnchor>
    <xdr:from>
      <xdr:col>2</xdr:col>
      <xdr:colOff>127000</xdr:colOff>
      <xdr:row>2</xdr:row>
      <xdr:rowOff>22225</xdr:rowOff>
    </xdr:from>
    <xdr:to>
      <xdr:col>9</xdr:col>
      <xdr:colOff>431800</xdr:colOff>
      <xdr:row>17</xdr:row>
      <xdr:rowOff>3175</xdr:rowOff>
    </xdr:to>
    <xdr:graphicFrame macro="">
      <xdr:nvGraphicFramePr>
        <xdr:cNvPr id="2" name="Chart 1">
          <a:extLst>
            <a:ext uri="{FF2B5EF4-FFF2-40B4-BE49-F238E27FC236}">
              <a16:creationId xmlns:a16="http://schemas.microsoft.com/office/drawing/2014/main" id="{E815F772-95E4-4C48-BCC4-FC52436718F0}"/>
            </a:ext>
          </a:extLst>
        </xdr:cNvPr>
        <xdr:cNvGraphicFramePr/>
      </xdr:nvGraphicFramePr>
      <xdr:xfrm>
        <a:off x="0" y="0"/>
        <a:ext cx="0" cy="0"/>
      </xdr:xfrm>
      <a:graphic>
        <a:graphicData uri="http://purl.oclc.org/ooxml/drawingml/chart">
          <c:chart xmlns:c="http://purl.oclc.org/ooxml/drawingml/chart" xmlns:r="http://purl.oclc.org/ooxml/officeDocument/relationships" r:id="rId1"/>
        </a:graphicData>
      </a:graphic>
    </xdr:graphicFrame>
    <xdr:clientData/>
  </xdr:twoCellAnchor>
</xdr:wsDr>
</file>

<file path=xl/drawings/drawing7.xml><?xml version="1.0" encoding="utf-8"?>
<xdr:wsDr xmlns:xdr="http://purl.oclc.org/ooxml/drawingml/spreadsheetDrawing" xmlns:a="http://purl.oclc.org/ooxml/drawingml/main">
  <xdr:twoCellAnchor>
    <xdr:from>
      <xdr:col>2</xdr:col>
      <xdr:colOff>418224</xdr:colOff>
      <xdr:row>1</xdr:row>
      <xdr:rowOff>150210</xdr:rowOff>
    </xdr:from>
    <xdr:to>
      <xdr:col>10</xdr:col>
      <xdr:colOff>85397</xdr:colOff>
      <xdr:row>16</xdr:row>
      <xdr:rowOff>156341</xdr:rowOff>
    </xdr:to>
    <xdr:graphicFrame macro="">
      <xdr:nvGraphicFramePr>
        <xdr:cNvPr id="2" name="Chart 1">
          <a:extLst>
            <a:ext uri="{FF2B5EF4-FFF2-40B4-BE49-F238E27FC236}">
              <a16:creationId xmlns:a16="http://schemas.microsoft.com/office/drawing/2014/main" id="{7C2BA3B7-5656-49F5-95C0-3B3ACF229BFA}"/>
            </a:ext>
          </a:extLst>
        </xdr:cNvPr>
        <xdr:cNvGraphicFramePr/>
      </xdr:nvGraphicFramePr>
      <xdr:xfrm>
        <a:off x="0" y="0"/>
        <a:ext cx="0" cy="0"/>
      </xdr:xfrm>
      <a:graphic>
        <a:graphicData uri="http://purl.oclc.org/ooxml/drawingml/chart">
          <c:chart xmlns:c="http://purl.oclc.org/ooxml/drawingml/chart" xmlns:r="http://purl.oclc.org/ooxml/officeDocument/relationships" r:id="rId1"/>
        </a:graphicData>
      </a:graphic>
    </xdr:graphicFrame>
    <xdr:clientData/>
  </xdr:twoCellAnchor>
</xdr:wsDr>
</file>

<file path=xl/drawings/drawing8.xml><?xml version="1.0" encoding="utf-8"?>
<xdr:wsDr xmlns:xdr="http://purl.oclc.org/ooxml/drawingml/spreadsheetDrawing" xmlns:a="http://purl.oclc.org/ooxml/drawingml/main">
  <xdr:twoCellAnchor>
    <xdr:from>
      <xdr:col>8</xdr:col>
      <xdr:colOff>408835</xdr:colOff>
      <xdr:row>9</xdr:row>
      <xdr:rowOff>52192</xdr:rowOff>
    </xdr:from>
    <xdr:to>
      <xdr:col>16</xdr:col>
      <xdr:colOff>104731</xdr:colOff>
      <xdr:row>24</xdr:row>
      <xdr:rowOff>34621</xdr:rowOff>
    </xdr:to>
    <xdr:graphicFrame macro="">
      <xdr:nvGraphicFramePr>
        <xdr:cNvPr id="3" name="Chart 2">
          <a:extLst>
            <a:ext uri="{FF2B5EF4-FFF2-40B4-BE49-F238E27FC236}">
              <a16:creationId xmlns:a16="http://schemas.microsoft.com/office/drawing/2014/main" id="{381B6365-6D68-4333-94A6-A07A974B19BE}"/>
            </a:ext>
          </a:extLst>
        </xdr:cNvPr>
        <xdr:cNvGraphicFramePr>
          <a:graphicFrameLocks/>
        </xdr:cNvGraphicFramePr>
      </xdr:nvGraphicFramePr>
      <xdr:xfrm>
        <a:off x="0" y="0"/>
        <a:ext cx="0" cy="0"/>
      </xdr:xfrm>
      <a:graphic>
        <a:graphicData uri="http://purl.oclc.org/ooxml/drawingml/chart">
          <c:chart xmlns:c="http://purl.oclc.org/ooxml/drawingml/chart" xmlns:r="http://purl.oclc.org/ooxml/officeDocument/relationships" r:id="rId1"/>
        </a:graphicData>
      </a:graphic>
    </xdr:graphicFrame>
    <xdr:clientData/>
  </xdr:twoCellAnchor>
  <xdr:twoCellAnchor>
    <xdr:from>
      <xdr:col>16</xdr:col>
      <xdr:colOff>158630</xdr:colOff>
      <xdr:row>9</xdr:row>
      <xdr:rowOff>78357</xdr:rowOff>
    </xdr:from>
    <xdr:to>
      <xdr:col>23</xdr:col>
      <xdr:colOff>463430</xdr:colOff>
      <xdr:row>24</xdr:row>
      <xdr:rowOff>59307</xdr:rowOff>
    </xdr:to>
    <xdr:graphicFrame macro="">
      <xdr:nvGraphicFramePr>
        <xdr:cNvPr id="4" name="Chart 3">
          <a:extLst>
            <a:ext uri="{FF2B5EF4-FFF2-40B4-BE49-F238E27FC236}">
              <a16:creationId xmlns:a16="http://schemas.microsoft.com/office/drawing/2014/main" id="{59EA5B19-D4D3-47A4-B023-C065A42462CB}"/>
            </a:ext>
          </a:extLst>
        </xdr:cNvPr>
        <xdr:cNvGraphicFramePr>
          <a:graphicFrameLocks/>
        </xdr:cNvGraphicFramePr>
      </xdr:nvGraphicFramePr>
      <xdr:xfrm>
        <a:off x="0" y="0"/>
        <a:ext cx="0" cy="0"/>
      </xdr:xfrm>
      <a:graphic>
        <a:graphicData uri="http://purl.oclc.org/ooxml/drawingml/chart">
          <c:chart xmlns:c="http://purl.oclc.org/ooxml/drawingml/chart" xmlns:r="http://purl.oclc.org/ooxml/officeDocument/relationships" r:id="rId2"/>
        </a:graphicData>
      </a:graphic>
    </xdr:graphicFrame>
    <xdr:clientData/>
  </xdr:twoCellAnchor>
  <xdr:twoCellAnchor>
    <xdr:from>
      <xdr:col>24</xdr:col>
      <xdr:colOff>37422</xdr:colOff>
      <xdr:row>9</xdr:row>
      <xdr:rowOff>137045</xdr:rowOff>
    </xdr:from>
    <xdr:to>
      <xdr:col>31</xdr:col>
      <xdr:colOff>344356</xdr:colOff>
      <xdr:row>24</xdr:row>
      <xdr:rowOff>119474</xdr:rowOff>
    </xdr:to>
    <xdr:graphicFrame macro="">
      <xdr:nvGraphicFramePr>
        <xdr:cNvPr id="5" name="Chart 4">
          <a:extLst>
            <a:ext uri="{FF2B5EF4-FFF2-40B4-BE49-F238E27FC236}">
              <a16:creationId xmlns:a16="http://schemas.microsoft.com/office/drawing/2014/main" id="{D90EA567-B006-4861-ACF0-B21357884794}"/>
            </a:ext>
          </a:extLst>
        </xdr:cNvPr>
        <xdr:cNvGraphicFramePr>
          <a:graphicFrameLocks/>
        </xdr:cNvGraphicFramePr>
      </xdr:nvGraphicFramePr>
      <xdr:xfrm>
        <a:off x="0" y="0"/>
        <a:ext cx="0" cy="0"/>
      </xdr:xfrm>
      <a:graphic>
        <a:graphicData uri="http://purl.oclc.org/ooxml/drawingml/chart">
          <c:chart xmlns:c="http://purl.oclc.org/ooxml/drawingml/chart" xmlns:r="http://purl.oclc.org/ooxml/officeDocument/relationships" r:id="rId3"/>
        </a:graphicData>
      </a:graphic>
    </xdr:graphicFrame>
    <xdr:clientData/>
  </xdr:twoCellAnchor>
  <xdr:twoCellAnchor>
    <xdr:from>
      <xdr:col>1</xdr:col>
      <xdr:colOff>99044</xdr:colOff>
      <xdr:row>24</xdr:row>
      <xdr:rowOff>109097</xdr:rowOff>
    </xdr:from>
    <xdr:to>
      <xdr:col>8</xdr:col>
      <xdr:colOff>403845</xdr:colOff>
      <xdr:row>39</xdr:row>
      <xdr:rowOff>91524</xdr:rowOff>
    </xdr:to>
    <xdr:graphicFrame macro="">
      <xdr:nvGraphicFramePr>
        <xdr:cNvPr id="6" name="Chart 5">
          <a:extLst>
            <a:ext uri="{FF2B5EF4-FFF2-40B4-BE49-F238E27FC236}">
              <a16:creationId xmlns:a16="http://schemas.microsoft.com/office/drawing/2014/main" id="{25BFA697-F46D-4B7C-8DCC-C0E6984BDAB7}"/>
            </a:ext>
          </a:extLst>
        </xdr:cNvPr>
        <xdr:cNvGraphicFramePr>
          <a:graphicFrameLocks/>
        </xdr:cNvGraphicFramePr>
      </xdr:nvGraphicFramePr>
      <xdr:xfrm>
        <a:off x="0" y="0"/>
        <a:ext cx="0" cy="0"/>
      </xdr:xfrm>
      <a:graphic>
        <a:graphicData uri="http://purl.oclc.org/ooxml/drawingml/chart">
          <c:chart xmlns:c="http://purl.oclc.org/ooxml/drawingml/chart" xmlns:r="http://purl.oclc.org/ooxml/officeDocument/relationships" r:id="rId4"/>
        </a:graphicData>
      </a:graphic>
    </xdr:graphicFrame>
    <xdr:clientData/>
  </xdr:twoCellAnchor>
  <xdr:twoCellAnchor>
    <xdr:from>
      <xdr:col>8</xdr:col>
      <xdr:colOff>462421</xdr:colOff>
      <xdr:row>24</xdr:row>
      <xdr:rowOff>143779</xdr:rowOff>
    </xdr:from>
    <xdr:to>
      <xdr:col>16</xdr:col>
      <xdr:colOff>162460</xdr:colOff>
      <xdr:row>39</xdr:row>
      <xdr:rowOff>124729</xdr:rowOff>
    </xdr:to>
    <xdr:graphicFrame macro="">
      <xdr:nvGraphicFramePr>
        <xdr:cNvPr id="7" name="Chart 6">
          <a:extLst>
            <a:ext uri="{FF2B5EF4-FFF2-40B4-BE49-F238E27FC236}">
              <a16:creationId xmlns:a16="http://schemas.microsoft.com/office/drawing/2014/main" id="{60EFD2A5-7577-44CD-862B-62A62A6C36D3}"/>
            </a:ext>
          </a:extLst>
        </xdr:cNvPr>
        <xdr:cNvGraphicFramePr>
          <a:graphicFrameLocks/>
        </xdr:cNvGraphicFramePr>
      </xdr:nvGraphicFramePr>
      <xdr:xfrm>
        <a:off x="0" y="0"/>
        <a:ext cx="0" cy="0"/>
      </xdr:xfrm>
      <a:graphic>
        <a:graphicData uri="http://purl.oclc.org/ooxml/drawingml/chart">
          <c:chart xmlns:c="http://purl.oclc.org/ooxml/drawingml/chart" xmlns:r="http://purl.oclc.org/ooxml/officeDocument/relationships" r:id="rId5"/>
        </a:graphicData>
      </a:graphic>
    </xdr:graphicFrame>
    <xdr:clientData/>
  </xdr:twoCellAnchor>
  <xdr:twoCellAnchor>
    <xdr:from>
      <xdr:col>16</xdr:col>
      <xdr:colOff>269546</xdr:colOff>
      <xdr:row>24</xdr:row>
      <xdr:rowOff>121124</xdr:rowOff>
    </xdr:from>
    <xdr:to>
      <xdr:col>23</xdr:col>
      <xdr:colOff>575785</xdr:colOff>
      <xdr:row>39</xdr:row>
      <xdr:rowOff>102076</xdr:rowOff>
    </xdr:to>
    <xdr:graphicFrame macro="">
      <xdr:nvGraphicFramePr>
        <xdr:cNvPr id="8" name="Chart 7">
          <a:extLst>
            <a:ext uri="{FF2B5EF4-FFF2-40B4-BE49-F238E27FC236}">
              <a16:creationId xmlns:a16="http://schemas.microsoft.com/office/drawing/2014/main" id="{DACC75CC-4B7C-4B93-9D3D-BFA87B6E17F7}"/>
            </a:ext>
          </a:extLst>
        </xdr:cNvPr>
        <xdr:cNvGraphicFramePr>
          <a:graphicFrameLocks/>
        </xdr:cNvGraphicFramePr>
      </xdr:nvGraphicFramePr>
      <xdr:xfrm>
        <a:off x="0" y="0"/>
        <a:ext cx="0" cy="0"/>
      </xdr:xfrm>
      <a:graphic>
        <a:graphicData uri="http://purl.oclc.org/ooxml/drawingml/chart">
          <c:chart xmlns:c="http://purl.oclc.org/ooxml/drawingml/chart" xmlns:r="http://purl.oclc.org/ooxml/officeDocument/relationships" r:id="rId6"/>
        </a:graphicData>
      </a:graphic>
    </xdr:graphicFrame>
    <xdr:clientData/>
  </xdr:twoCellAnchor>
  <xdr:twoCellAnchor>
    <xdr:from>
      <xdr:col>1</xdr:col>
      <xdr:colOff>51690</xdr:colOff>
      <xdr:row>9</xdr:row>
      <xdr:rowOff>60890</xdr:rowOff>
    </xdr:from>
    <xdr:to>
      <xdr:col>8</xdr:col>
      <xdr:colOff>347945</xdr:colOff>
      <xdr:row>24</xdr:row>
      <xdr:rowOff>26096</xdr:rowOff>
    </xdr:to>
    <xdr:graphicFrame macro="">
      <xdr:nvGraphicFramePr>
        <xdr:cNvPr id="9" name="Total Sales by Category">
          <a:extLst>
            <a:ext uri="{FF2B5EF4-FFF2-40B4-BE49-F238E27FC236}">
              <a16:creationId xmlns:a16="http://schemas.microsoft.com/office/drawing/2014/main" id="{6B7E333E-7AC9-40FD-ADA6-1DD8A998E5BD}"/>
            </a:ext>
          </a:extLst>
        </xdr:cNvPr>
        <xdr:cNvGraphicFramePr>
          <a:graphicFrameLocks/>
        </xdr:cNvGraphicFramePr>
      </xdr:nvGraphicFramePr>
      <xdr:xfrm>
        <a:off x="0" y="0"/>
        <a:ext cx="0" cy="0"/>
      </xdr:xfrm>
      <a:graphic>
        <a:graphicData uri="http://purl.oclc.org/ooxml/drawingml/chart">
          <c:chart xmlns:c="http://purl.oclc.org/ooxml/drawingml/chart" xmlns:r="http://purl.oclc.org/ooxml/officeDocument/relationships" r:id="rId7"/>
        </a:graphicData>
      </a:graphic>
    </xdr:graphicFrame>
    <xdr:clientData/>
  </xdr:twoCellAnchor>
  <xdr:twoCellAnchor editAs="oneCell">
    <xdr:from>
      <xdr:col>24</xdr:col>
      <xdr:colOff>111508</xdr:colOff>
      <xdr:row>25</xdr:row>
      <xdr:rowOff>6302</xdr:rowOff>
    </xdr:from>
    <xdr:to>
      <xdr:col>27</xdr:col>
      <xdr:colOff>383396</xdr:colOff>
      <xdr:row>39</xdr:row>
      <xdr:rowOff>18036</xdr:rowOff>
    </xdr:to>
    <mc:AlternateContent xmlns:mc="http://schemas.openxmlformats.org/markup-compatibility/2006">
      <mc:Choice xmlns:a14="http://schemas.microsoft.com/office/drawing/2010/main" Requires="a14">
        <xdr:graphicFrame macro="">
          <xdr:nvGraphicFramePr>
            <xdr:cNvPr id="14" name="Category 1">
              <a:extLst>
                <a:ext uri="{FF2B5EF4-FFF2-40B4-BE49-F238E27FC236}">
                  <a16:creationId xmlns:a16="http://schemas.microsoft.com/office/drawing/2014/main" id="{28B7ABA4-6EDD-4F3E-A47A-4396EA82E924}"/>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14776414" y="4726868"/>
              <a:ext cx="2105001" cy="252777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27</xdr:col>
      <xdr:colOff>491227</xdr:colOff>
      <xdr:row>25</xdr:row>
      <xdr:rowOff>18284</xdr:rowOff>
    </xdr:from>
    <xdr:to>
      <xdr:col>31</xdr:col>
      <xdr:colOff>335472</xdr:colOff>
      <xdr:row>39</xdr:row>
      <xdr:rowOff>30018</xdr:rowOff>
    </xdr:to>
    <mc:AlternateContent xmlns:mc="http://schemas.openxmlformats.org/markup-compatibility/2006">
      <mc:Choice xmlns:a14="http://schemas.microsoft.com/office/drawing/2010/main" Requires="a14">
        <xdr:graphicFrame macro="">
          <xdr:nvGraphicFramePr>
            <xdr:cNvPr id="15" name="Customer Location">
              <a:extLst>
                <a:ext uri="{FF2B5EF4-FFF2-40B4-BE49-F238E27FC236}">
                  <a16:creationId xmlns:a16="http://schemas.microsoft.com/office/drawing/2014/main" id="{94732062-688B-4C81-9387-FED02C3AA909}"/>
                </a:ext>
              </a:extLst>
            </xdr:cNvPr>
            <xdr:cNvGraphicFramePr/>
          </xdr:nvGraphicFramePr>
          <xdr:xfrm>
            <a:off x="0" y="0"/>
            <a:ext cx="0" cy="0"/>
          </xdr:xfrm>
          <a:graphic>
            <a:graphicData uri="http://schemas.microsoft.com/office/drawing/2010/slicer">
              <sle:slicer xmlns:sle="http://schemas.microsoft.com/office/drawing/2010/slicer" name="Customer Location"/>
            </a:graphicData>
          </a:graphic>
        </xdr:graphicFrame>
      </mc:Choice>
      <mc:Fallback>
        <xdr:sp macro="" textlink="">
          <xdr:nvSpPr>
            <xdr:cNvPr id="0" name=""/>
            <xdr:cNvSpPr>
              <a:spLocks noTextEdit="1"/>
            </xdr:cNvSpPr>
          </xdr:nvSpPr>
          <xdr:spPr>
            <a:xfrm>
              <a:off x="16989246" y="4738850"/>
              <a:ext cx="2288396" cy="252777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31</xdr:col>
      <xdr:colOff>482923</xdr:colOff>
      <xdr:row>9</xdr:row>
      <xdr:rowOff>168571</xdr:rowOff>
    </xdr:from>
    <xdr:to>
      <xdr:col>34</xdr:col>
      <xdr:colOff>455284</xdr:colOff>
      <xdr:row>24</xdr:row>
      <xdr:rowOff>119811</xdr:rowOff>
    </xdr:to>
    <mc:AlternateContent xmlns:mc="http://schemas.openxmlformats.org/markup-compatibility/2006">
      <mc:Choice xmlns:a14="http://schemas.microsoft.com/office/drawing/2010/main" Requires="a14">
        <xdr:graphicFrame macro="">
          <xdr:nvGraphicFramePr>
            <xdr:cNvPr id="16" name="Payment Method">
              <a:extLst>
                <a:ext uri="{FF2B5EF4-FFF2-40B4-BE49-F238E27FC236}">
                  <a16:creationId xmlns:a16="http://schemas.microsoft.com/office/drawing/2014/main" id="{55716DC3-C9DF-4BBD-B381-49DE246009D5}"/>
                </a:ext>
              </a:extLst>
            </xdr:cNvPr>
            <xdr:cNvGraphicFramePr/>
          </xdr:nvGraphicFramePr>
          <xdr:xfrm>
            <a:off x="0" y="0"/>
            <a:ext cx="0" cy="0"/>
          </xdr:xfrm>
          <a:graphic>
            <a:graphicData uri="http://schemas.microsoft.com/office/drawing/2010/slicer">
              <sle:slicer xmlns:sle="http://schemas.microsoft.com/office/drawing/2010/slicer" name="Payment Method"/>
            </a:graphicData>
          </a:graphic>
        </xdr:graphicFrame>
      </mc:Choice>
      <mc:Fallback>
        <xdr:sp macro="" textlink="">
          <xdr:nvSpPr>
            <xdr:cNvPr id="0" name=""/>
            <xdr:cNvSpPr>
              <a:spLocks noTextEdit="1"/>
            </xdr:cNvSpPr>
          </xdr:nvSpPr>
          <xdr:spPr>
            <a:xfrm>
              <a:off x="19425093" y="2013665"/>
              <a:ext cx="1805474" cy="264699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31</xdr:col>
      <xdr:colOff>475368</xdr:colOff>
      <xdr:row>25</xdr:row>
      <xdr:rowOff>835</xdr:rowOff>
    </xdr:from>
    <xdr:to>
      <xdr:col>34</xdr:col>
      <xdr:colOff>481994</xdr:colOff>
      <xdr:row>39</xdr:row>
      <xdr:rowOff>12568</xdr:rowOff>
    </xdr:to>
    <mc:AlternateContent xmlns:mc="http://schemas.openxmlformats.org/markup-compatibility/2006">
      <mc:Choice xmlns:a14="http://schemas.microsoft.com/office/drawing/2010/main" Requires="a14">
        <xdr:graphicFrame macro="">
          <xdr:nvGraphicFramePr>
            <xdr:cNvPr id="17" name="Status">
              <a:extLst>
                <a:ext uri="{FF2B5EF4-FFF2-40B4-BE49-F238E27FC236}">
                  <a16:creationId xmlns:a16="http://schemas.microsoft.com/office/drawing/2014/main" id="{B26AABA1-94AE-4FCD-B0D8-28D09930FBFB}"/>
                </a:ext>
              </a:extLst>
            </xdr:cNvPr>
            <xdr:cNvGraphicFramePr/>
          </xdr:nvGraphicFramePr>
          <xdr:xfrm>
            <a:off x="0" y="0"/>
            <a:ext cx="0" cy="0"/>
          </xdr:xfrm>
          <a:graphic>
            <a:graphicData uri="http://schemas.microsoft.com/office/drawing/2010/slicer">
              <sle:slicer xmlns:sle="http://schemas.microsoft.com/office/drawing/2010/slicer" name="Status"/>
            </a:graphicData>
          </a:graphic>
        </xdr:graphicFrame>
      </mc:Choice>
      <mc:Fallback>
        <xdr:sp macro="" textlink="">
          <xdr:nvSpPr>
            <xdr:cNvPr id="0" name=""/>
            <xdr:cNvSpPr>
              <a:spLocks noTextEdit="1"/>
            </xdr:cNvSpPr>
          </xdr:nvSpPr>
          <xdr:spPr>
            <a:xfrm>
              <a:off x="19417538" y="4721401"/>
              <a:ext cx="1839739" cy="252777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purl.oclc.org/ooxml/officeDocument/relationships/pivotCacheRecords" Target="pivotCacheRecords1.xml"/></Relationships>
</file>

<file path=xl/pivotCache/pivotCacheDefinition1.xml><?xml version="1.0" encoding="utf-8"?>
<pivotCacheDefinition xmlns="http://purl.oclc.org/ooxml/spreadsheetml/main" xmlns:r="http://purl.oclc.org/ooxml/officeDocument/relationships" xmlns:mc="http://schemas.openxmlformats.org/markup-compatibility/2006" xmlns:xr="http://schemas.microsoft.com/office/spreadsheetml/2014/revision" mc:Ignorable="xr" r:id="rId1" refreshedBy="Sri Dharma" refreshedDateIso="2026-08-24T22:22:00.04000023007392675" createdVersion="7" refreshedVersion="7" minRefreshableVersion="3" recordCount="250" xr:uid="{4BD1C79D-D798-480D-9386-B01A7CD976CA}">
  <cacheSource type="worksheet">
    <worksheetSource name="Table1"/>
  </cacheSource>
  <cacheFields count="15">
    <cacheField name="Order ID" numFmtId="0">
      <sharedItems/>
    </cacheField>
    <cacheField name="Date" numFmtId="14">
      <sharedItems containsSemiMixedTypes="0" containsNonDate="0" containsDate="1" containsString="0" minDate="2025-02-02T00:00:00" maxDate="2025-04-03T00:00:00" count="60">
        <d v="2025-03-14T00:00:00"/>
        <d v="2025-03-20T00:00:00"/>
        <d v="2025-02-15T00:00:00"/>
        <d v="2025-02-19T00:00:00"/>
        <d v="2025-03-10T00:00:00"/>
        <d v="2025-03-18T00:00:00"/>
        <d v="2025-03-02T00:00:00"/>
        <d v="2025-03-08T00:00:00"/>
        <d v="2025-03-12T00:00:00"/>
        <d v="2025-02-17T00:00:00"/>
        <d v="2025-03-13T00:00:00"/>
        <d v="2025-03-01T00:00:00"/>
        <d v="2025-03-04T00:00:00"/>
        <d v="2025-02-20T00:00:00"/>
        <d v="2025-02-26T00:00:00"/>
        <d v="2025-04-01T00:00:00"/>
        <d v="2025-02-10T00:00:00"/>
        <d v="2025-03-22T00:00:00"/>
        <d v="2025-03-07T00:00:00"/>
        <d v="2025-02-05T00:00:00"/>
        <d v="2025-02-23T00:00:00"/>
        <d v="2025-03-24T00:00:00"/>
        <d v="2025-02-14T00:00:00"/>
        <d v="2025-02-07T00:00:00"/>
        <d v="2025-02-03T00:00:00"/>
        <d v="2025-02-12T00:00:00"/>
        <d v="2025-02-04T00:00:00"/>
        <d v="2025-04-02T00:00:00"/>
        <d v="2025-02-09T00:00:00"/>
        <d v="2025-02-16T00:00:00"/>
        <d v="2025-03-26T00:00:00"/>
        <d v="2025-03-17T00:00:00"/>
        <d v="2025-02-08T00:00:00"/>
        <d v="2025-03-15T00:00:00"/>
        <d v="2025-03-06T00:00:00"/>
        <d v="2025-02-11T00:00:00"/>
        <d v="2025-02-18T00:00:00"/>
        <d v="2025-02-24T00:00:00"/>
        <d v="2025-03-19T00:00:00"/>
        <d v="2025-03-11T00:00:00"/>
        <d v="2025-03-30T00:00:00"/>
        <d v="2025-02-13T00:00:00"/>
        <d v="2025-03-16T00:00:00"/>
        <d v="2025-03-31T00:00:00"/>
        <d v="2025-02-25T00:00:00"/>
        <d v="2025-03-25T00:00:00"/>
        <d v="2025-03-09T00:00:00"/>
        <d v="2025-02-28T00:00:00"/>
        <d v="2025-02-06T00:00:00"/>
        <d v="2025-02-22T00:00:00"/>
        <d v="2025-03-21T00:00:00"/>
        <d v="2025-02-27T00:00:00"/>
        <d v="2025-03-28T00:00:00"/>
        <d v="2025-03-23T00:00:00"/>
        <d v="2025-03-29T00:00:00"/>
        <d v="2025-03-27T00:00:00"/>
        <d v="2025-03-03T00:00:00"/>
        <d v="2025-02-21T00:00:00"/>
        <d v="2025-02-02T00:00:00"/>
        <d v="2025-03-05T00:00:00"/>
      </sharedItems>
      <fieldGroup base="1">
        <rangePr groupBy="months" startDate="2025-02-02T00:00:00" endDate="2025-04-03T00:00:00"/>
        <groupItems count="14">
          <s v="&lt;02-02-2025"/>
          <s v="Jan"/>
          <s v="Feb"/>
          <s v="Mar"/>
          <s v="Apr"/>
          <s v="May"/>
          <s v="Jun"/>
          <s v="Jul"/>
          <s v="Aug"/>
          <s v="Sep"/>
          <s v="Oct"/>
          <s v="Nov"/>
          <s v="Dec"/>
          <s v="&gt;03-04-2025"/>
        </groupItems>
      </fieldGroup>
    </cacheField>
    <cacheField name="Product" numFmtId="0">
      <sharedItems count="10">
        <s v="Running Shoes"/>
        <s v="Headphones"/>
        <s v="Smartwatch"/>
        <s v="T-Shirt"/>
        <s v="Smartphone"/>
        <s v="Book"/>
        <s v="Jeans"/>
        <s v="Laptop"/>
        <s v="Washing Machine"/>
        <s v="Refrigerator"/>
      </sharedItems>
    </cacheField>
    <cacheField name="Category" numFmtId="0">
      <sharedItems count="5">
        <s v="Footwear"/>
        <s v="Electronics"/>
        <s v="Clothing"/>
        <s v="Books"/>
        <s v="Home Appliances"/>
      </sharedItems>
    </cacheField>
    <cacheField name="Price" numFmtId="0">
      <sharedItems containsSemiMixedTypes="0" containsString="0" containsNumber="1" containsInteger="1" minValue="15" maxValue="1200"/>
    </cacheField>
    <cacheField name="Quantity" numFmtId="0">
      <sharedItems containsSemiMixedTypes="0" containsString="0" containsNumber="1" containsInteger="1" minValue="1" maxValue="5"/>
    </cacheField>
    <cacheField name="Total Sales" numFmtId="0">
      <sharedItems containsSemiMixedTypes="0" containsString="0" containsNumber="1" containsInteger="1" minValue="15" maxValue="6000" count="36">
        <n v="180"/>
        <n v="400"/>
        <n v="120"/>
        <n v="450"/>
        <n v="20"/>
        <n v="600"/>
        <n v="500"/>
        <n v="60"/>
        <n v="30"/>
        <n v="160"/>
        <n v="1600"/>
        <n v="1800"/>
        <n v="1200"/>
        <n v="1000"/>
        <n v="300"/>
        <n v="4800"/>
        <n v="15"/>
        <n v="3600"/>
        <n v="75"/>
        <n v="100"/>
        <n v="2000"/>
        <n v="2400"/>
        <n v="150"/>
        <n v="80"/>
        <n v="40"/>
        <n v="240"/>
        <n v="4000"/>
        <n v="2500"/>
        <n v="45"/>
        <n v="750"/>
        <n v="200"/>
        <n v="1500"/>
        <n v="3200"/>
        <n v="6000"/>
        <n v="3000"/>
        <n v="800"/>
      </sharedItems>
    </cacheField>
    <cacheField name="Customer Name" numFmtId="0">
      <sharedItems count="10">
        <s v="Emma Clark"/>
        <s v="Emily Johnson"/>
        <s v="John Doe"/>
        <s v="Olivia Wilson"/>
        <s v="Sophia Miller"/>
        <s v="David Lee"/>
        <s v="Michael Brown"/>
        <s v="Daniel Harris"/>
        <s v="Chris White"/>
        <s v="Jane Smith"/>
      </sharedItems>
    </cacheField>
    <cacheField name="Customer Location" numFmtId="0">
      <sharedItems count="10">
        <s v="New York"/>
        <s v="San Francisco"/>
        <s v="Denver"/>
        <s v="Dallas"/>
        <s v="Houston"/>
        <s v="Miami"/>
        <s v="Boston"/>
        <s v="Seattle"/>
        <s v="Los Angeles"/>
        <s v="Chicago"/>
      </sharedItems>
    </cacheField>
    <cacheField name="Payment Method" numFmtId="0">
      <sharedItems count="5">
        <s v="Debit Card"/>
        <s v="Amazon Pay"/>
        <s v="Credit Card"/>
        <s v="PayPal"/>
        <s v="Gift Card"/>
      </sharedItems>
    </cacheField>
    <cacheField name="Status" numFmtId="0">
      <sharedItems count="3">
        <s v="Cancelled"/>
        <s v="Pending"/>
        <s v="Completed"/>
      </sharedItems>
    </cacheField>
    <cacheField name="Sales_Check" numFmtId="0">
      <sharedItems/>
    </cacheField>
    <cacheField name="Month" numFmtId="0">
      <sharedItems/>
    </cacheField>
    <cacheField name="Day of Week" numFmtId="0">
      <sharedItems/>
    </cacheField>
    <cacheField name="Order Status Flag" numFmtId="0">
      <sharedItems/>
    </cacheField>
  </cacheFields>
  <extLst>
    <ext xmlns:x14="http://schemas.microsoft.com/office/spreadsheetml/2009/9/main" uri="{725AE2AE-9491-48be-B2B4-4EB974FC3084}">
      <x14:pivotCacheDefinition pivotCacheId="601255346"/>
    </ext>
  </extLst>
</pivotCacheDefinition>
</file>

<file path=xl/pivotCache/pivotCacheRecords1.xml><?xml version="1.0" encoding="utf-8"?>
<pivotCacheRecords xmlns="http://purl.oclc.org/ooxml/spreadsheetml/main" xmlns:r="http://purl.oclc.org/ooxml/officeDocument/relationships" xmlns:mc="http://schemas.openxmlformats.org/markup-compatibility/2006" xmlns:xr="http://schemas.microsoft.com/office/spreadsheetml/2014/revision" mc:Ignorable="xr" count="250">
  <r>
    <s v="ORD0001"/>
    <x v="0"/>
    <x v="0"/>
    <x v="0"/>
    <n v="60"/>
    <n v="3"/>
    <x v="0"/>
    <x v="0"/>
    <x v="0"/>
    <x v="0"/>
    <x v="0"/>
    <s v="OK"/>
    <s v="Mar"/>
    <s v="Friday"/>
    <s v="Cancelled"/>
  </r>
  <r>
    <s v="ORD0002"/>
    <x v="1"/>
    <x v="1"/>
    <x v="1"/>
    <n v="100"/>
    <n v="4"/>
    <x v="1"/>
    <x v="1"/>
    <x v="1"/>
    <x v="0"/>
    <x v="1"/>
    <s v="OK"/>
    <s v="Mar"/>
    <s v="Thursday"/>
    <s v="Pending"/>
  </r>
  <r>
    <s v="ORD0003"/>
    <x v="2"/>
    <x v="0"/>
    <x v="0"/>
    <n v="60"/>
    <n v="2"/>
    <x v="2"/>
    <x v="2"/>
    <x v="2"/>
    <x v="1"/>
    <x v="0"/>
    <s v="OK"/>
    <s v="Feb"/>
    <s v="Saturday"/>
    <s v="Cancelled"/>
  </r>
  <r>
    <s v="ORD0004"/>
    <x v="3"/>
    <x v="0"/>
    <x v="0"/>
    <n v="60"/>
    <n v="3"/>
    <x v="0"/>
    <x v="3"/>
    <x v="3"/>
    <x v="2"/>
    <x v="1"/>
    <s v="OK"/>
    <s v="Feb"/>
    <s v="Wednesday"/>
    <s v="Pending"/>
  </r>
  <r>
    <s v="ORD0005"/>
    <x v="4"/>
    <x v="2"/>
    <x v="1"/>
    <n v="150"/>
    <n v="3"/>
    <x v="3"/>
    <x v="0"/>
    <x v="0"/>
    <x v="0"/>
    <x v="1"/>
    <s v="OK"/>
    <s v="Mar"/>
    <s v="Monday"/>
    <s v="Pending"/>
  </r>
  <r>
    <s v="ORD0006"/>
    <x v="0"/>
    <x v="3"/>
    <x v="2"/>
    <n v="20"/>
    <n v="1"/>
    <x v="4"/>
    <x v="2"/>
    <x v="3"/>
    <x v="2"/>
    <x v="1"/>
    <s v="OK"/>
    <s v="Mar"/>
    <s v="Friday"/>
    <s v="Pending"/>
  </r>
  <r>
    <s v="ORD0007"/>
    <x v="5"/>
    <x v="2"/>
    <x v="1"/>
    <n v="150"/>
    <n v="4"/>
    <x v="5"/>
    <x v="0"/>
    <x v="4"/>
    <x v="3"/>
    <x v="2"/>
    <s v="OK"/>
    <s v="Mar"/>
    <s v="Tuesday"/>
    <s v="Delivered"/>
  </r>
  <r>
    <s v="ORD0008"/>
    <x v="6"/>
    <x v="4"/>
    <x v="1"/>
    <n v="500"/>
    <n v="1"/>
    <x v="6"/>
    <x v="4"/>
    <x v="5"/>
    <x v="3"/>
    <x v="2"/>
    <s v="OK"/>
    <s v="Mar"/>
    <s v="Sunday"/>
    <s v="Delivered"/>
  </r>
  <r>
    <s v="ORD0009"/>
    <x v="7"/>
    <x v="3"/>
    <x v="2"/>
    <n v="20"/>
    <n v="3"/>
    <x v="7"/>
    <x v="4"/>
    <x v="6"/>
    <x v="3"/>
    <x v="2"/>
    <s v="OK"/>
    <s v="Mar"/>
    <s v="Saturday"/>
    <s v="Delivered"/>
  </r>
  <r>
    <s v="ORD0010"/>
    <x v="8"/>
    <x v="4"/>
    <x v="1"/>
    <n v="500"/>
    <n v="1"/>
    <x v="6"/>
    <x v="1"/>
    <x v="1"/>
    <x v="2"/>
    <x v="0"/>
    <s v="OK"/>
    <s v="Mar"/>
    <s v="Wednesday"/>
    <s v="Cancelled"/>
  </r>
  <r>
    <s v="ORD0011"/>
    <x v="9"/>
    <x v="5"/>
    <x v="3"/>
    <n v="15"/>
    <n v="2"/>
    <x v="8"/>
    <x v="5"/>
    <x v="6"/>
    <x v="1"/>
    <x v="1"/>
    <s v="OK"/>
    <s v="Feb"/>
    <s v="Monday"/>
    <s v="Pending"/>
  </r>
  <r>
    <s v="ORD0012"/>
    <x v="10"/>
    <x v="6"/>
    <x v="2"/>
    <n v="40"/>
    <n v="4"/>
    <x v="9"/>
    <x v="6"/>
    <x v="3"/>
    <x v="2"/>
    <x v="2"/>
    <s v="OK"/>
    <s v="Mar"/>
    <s v="Thursday"/>
    <s v="Delivered"/>
  </r>
  <r>
    <s v="ORD0013"/>
    <x v="11"/>
    <x v="7"/>
    <x v="1"/>
    <n v="800"/>
    <n v="2"/>
    <x v="10"/>
    <x v="7"/>
    <x v="1"/>
    <x v="4"/>
    <x v="1"/>
    <s v="OK"/>
    <s v="Mar"/>
    <s v="Saturday"/>
    <s v="Pending"/>
  </r>
  <r>
    <s v="ORD0014"/>
    <x v="12"/>
    <x v="8"/>
    <x v="4"/>
    <n v="600"/>
    <n v="3"/>
    <x v="11"/>
    <x v="6"/>
    <x v="5"/>
    <x v="2"/>
    <x v="0"/>
    <s v="OK"/>
    <s v="Mar"/>
    <s v="Tuesday"/>
    <s v="Cancelled"/>
  </r>
  <r>
    <s v="ORD0015"/>
    <x v="13"/>
    <x v="2"/>
    <x v="1"/>
    <n v="150"/>
    <n v="4"/>
    <x v="5"/>
    <x v="2"/>
    <x v="7"/>
    <x v="2"/>
    <x v="2"/>
    <s v="OK"/>
    <s v="Feb"/>
    <s v="Thursday"/>
    <s v="Delivered"/>
  </r>
  <r>
    <s v="ORD0016"/>
    <x v="14"/>
    <x v="9"/>
    <x v="4"/>
    <n v="1200"/>
    <n v="1"/>
    <x v="12"/>
    <x v="2"/>
    <x v="6"/>
    <x v="2"/>
    <x v="0"/>
    <s v="OK"/>
    <s v="Feb"/>
    <s v="Wednesday"/>
    <s v="Cancelled"/>
  </r>
  <r>
    <s v="ORD0017"/>
    <x v="15"/>
    <x v="3"/>
    <x v="2"/>
    <n v="20"/>
    <n v="1"/>
    <x v="4"/>
    <x v="0"/>
    <x v="0"/>
    <x v="1"/>
    <x v="2"/>
    <s v="OK"/>
    <s v="Apr"/>
    <s v="Tuesday"/>
    <s v="Delivered"/>
  </r>
  <r>
    <s v="ORD0018"/>
    <x v="16"/>
    <x v="4"/>
    <x v="1"/>
    <n v="500"/>
    <n v="2"/>
    <x v="13"/>
    <x v="6"/>
    <x v="8"/>
    <x v="1"/>
    <x v="2"/>
    <s v="OK"/>
    <s v="Feb"/>
    <s v="Monday"/>
    <s v="Delivered"/>
  </r>
  <r>
    <s v="ORD0019"/>
    <x v="17"/>
    <x v="0"/>
    <x v="0"/>
    <n v="60"/>
    <n v="3"/>
    <x v="0"/>
    <x v="3"/>
    <x v="4"/>
    <x v="2"/>
    <x v="2"/>
    <s v="OK"/>
    <s v="Mar"/>
    <s v="Saturday"/>
    <s v="Delivered"/>
  </r>
  <r>
    <s v="ORD0020"/>
    <x v="18"/>
    <x v="1"/>
    <x v="1"/>
    <n v="100"/>
    <n v="4"/>
    <x v="1"/>
    <x v="3"/>
    <x v="7"/>
    <x v="0"/>
    <x v="1"/>
    <s v="OK"/>
    <s v="Mar"/>
    <s v="Friday"/>
    <s v="Pending"/>
  </r>
  <r>
    <s v="ORD0021"/>
    <x v="19"/>
    <x v="1"/>
    <x v="1"/>
    <n v="100"/>
    <n v="3"/>
    <x v="14"/>
    <x v="8"/>
    <x v="5"/>
    <x v="0"/>
    <x v="0"/>
    <s v="OK"/>
    <s v="Feb"/>
    <s v="Wednesday"/>
    <s v="Cancelled"/>
  </r>
  <r>
    <s v="ORD0022"/>
    <x v="18"/>
    <x v="9"/>
    <x v="4"/>
    <n v="1200"/>
    <n v="4"/>
    <x v="15"/>
    <x v="3"/>
    <x v="4"/>
    <x v="2"/>
    <x v="1"/>
    <s v="OK"/>
    <s v="Mar"/>
    <s v="Friday"/>
    <s v="Pending"/>
  </r>
  <r>
    <s v="ORD0023"/>
    <x v="20"/>
    <x v="5"/>
    <x v="3"/>
    <n v="15"/>
    <n v="1"/>
    <x v="16"/>
    <x v="0"/>
    <x v="4"/>
    <x v="2"/>
    <x v="1"/>
    <s v="OK"/>
    <s v="Feb"/>
    <s v="Sunday"/>
    <s v="Pending"/>
  </r>
  <r>
    <s v="ORD0024"/>
    <x v="21"/>
    <x v="9"/>
    <x v="4"/>
    <n v="1200"/>
    <n v="3"/>
    <x v="17"/>
    <x v="8"/>
    <x v="3"/>
    <x v="2"/>
    <x v="0"/>
    <s v="OK"/>
    <s v="Mar"/>
    <s v="Monday"/>
    <s v="Cancelled"/>
  </r>
  <r>
    <s v="ORD0025"/>
    <x v="6"/>
    <x v="5"/>
    <x v="3"/>
    <n v="15"/>
    <n v="5"/>
    <x v="18"/>
    <x v="4"/>
    <x v="7"/>
    <x v="1"/>
    <x v="2"/>
    <s v="OK"/>
    <s v="Mar"/>
    <s v="Sunday"/>
    <s v="Delivered"/>
  </r>
  <r>
    <s v="ORD0026"/>
    <x v="22"/>
    <x v="8"/>
    <x v="4"/>
    <n v="600"/>
    <n v="1"/>
    <x v="5"/>
    <x v="3"/>
    <x v="6"/>
    <x v="0"/>
    <x v="0"/>
    <s v="OK"/>
    <s v="Feb"/>
    <s v="Friday"/>
    <s v="Cancelled"/>
  </r>
  <r>
    <s v="ORD0027"/>
    <x v="23"/>
    <x v="3"/>
    <x v="2"/>
    <n v="20"/>
    <n v="1"/>
    <x v="4"/>
    <x v="7"/>
    <x v="0"/>
    <x v="1"/>
    <x v="1"/>
    <s v="OK"/>
    <s v="Feb"/>
    <s v="Friday"/>
    <s v="Pending"/>
  </r>
  <r>
    <s v="ORD0028"/>
    <x v="24"/>
    <x v="1"/>
    <x v="1"/>
    <n v="100"/>
    <n v="1"/>
    <x v="19"/>
    <x v="9"/>
    <x v="9"/>
    <x v="1"/>
    <x v="2"/>
    <s v="OK"/>
    <s v="Feb"/>
    <s v="Monday"/>
    <s v="Delivered"/>
  </r>
  <r>
    <s v="ORD0029"/>
    <x v="25"/>
    <x v="4"/>
    <x v="1"/>
    <n v="500"/>
    <n v="1"/>
    <x v="6"/>
    <x v="4"/>
    <x v="2"/>
    <x v="2"/>
    <x v="0"/>
    <s v="OK"/>
    <s v="Feb"/>
    <s v="Wednesday"/>
    <s v="Cancelled"/>
  </r>
  <r>
    <s v="ORD0030"/>
    <x v="16"/>
    <x v="8"/>
    <x v="4"/>
    <n v="600"/>
    <n v="3"/>
    <x v="11"/>
    <x v="1"/>
    <x v="3"/>
    <x v="4"/>
    <x v="0"/>
    <s v="OK"/>
    <s v="Feb"/>
    <s v="Monday"/>
    <s v="Cancelled"/>
  </r>
  <r>
    <s v="ORD0031"/>
    <x v="21"/>
    <x v="4"/>
    <x v="1"/>
    <n v="500"/>
    <n v="1"/>
    <x v="6"/>
    <x v="2"/>
    <x v="4"/>
    <x v="4"/>
    <x v="1"/>
    <s v="OK"/>
    <s v="Mar"/>
    <s v="Monday"/>
    <s v="Pending"/>
  </r>
  <r>
    <s v="ORD0032"/>
    <x v="4"/>
    <x v="4"/>
    <x v="1"/>
    <n v="500"/>
    <n v="4"/>
    <x v="20"/>
    <x v="6"/>
    <x v="7"/>
    <x v="3"/>
    <x v="1"/>
    <s v="OK"/>
    <s v="Mar"/>
    <s v="Monday"/>
    <s v="Pending"/>
  </r>
  <r>
    <s v="ORD0033"/>
    <x v="26"/>
    <x v="5"/>
    <x v="3"/>
    <n v="15"/>
    <n v="1"/>
    <x v="16"/>
    <x v="3"/>
    <x v="0"/>
    <x v="0"/>
    <x v="0"/>
    <s v="OK"/>
    <s v="Feb"/>
    <s v="Tuesday"/>
    <s v="Cancelled"/>
  </r>
  <r>
    <s v="ORD0034"/>
    <x v="27"/>
    <x v="3"/>
    <x v="2"/>
    <n v="20"/>
    <n v="5"/>
    <x v="19"/>
    <x v="9"/>
    <x v="0"/>
    <x v="2"/>
    <x v="1"/>
    <s v="OK"/>
    <s v="Apr"/>
    <s v="Wednesday"/>
    <s v="Pending"/>
  </r>
  <r>
    <s v="ORD0035"/>
    <x v="27"/>
    <x v="7"/>
    <x v="1"/>
    <n v="800"/>
    <n v="3"/>
    <x v="21"/>
    <x v="0"/>
    <x v="2"/>
    <x v="1"/>
    <x v="2"/>
    <s v="OK"/>
    <s v="Apr"/>
    <s v="Wednesday"/>
    <s v="Delivered"/>
  </r>
  <r>
    <s v="ORD0036"/>
    <x v="28"/>
    <x v="9"/>
    <x v="4"/>
    <n v="1200"/>
    <n v="2"/>
    <x v="21"/>
    <x v="4"/>
    <x v="6"/>
    <x v="3"/>
    <x v="0"/>
    <s v="OK"/>
    <s v="Feb"/>
    <s v="Sunday"/>
    <s v="Cancelled"/>
  </r>
  <r>
    <s v="ORD0037"/>
    <x v="29"/>
    <x v="1"/>
    <x v="1"/>
    <n v="100"/>
    <n v="3"/>
    <x v="14"/>
    <x v="6"/>
    <x v="0"/>
    <x v="0"/>
    <x v="0"/>
    <s v="OK"/>
    <s v="Feb"/>
    <s v="Sunday"/>
    <s v="Cancelled"/>
  </r>
  <r>
    <s v="ORD0038"/>
    <x v="30"/>
    <x v="7"/>
    <x v="1"/>
    <n v="800"/>
    <n v="3"/>
    <x v="21"/>
    <x v="3"/>
    <x v="9"/>
    <x v="1"/>
    <x v="2"/>
    <s v="OK"/>
    <s v="Mar"/>
    <s v="Wednesday"/>
    <s v="Delivered"/>
  </r>
  <r>
    <s v="ORD0039"/>
    <x v="6"/>
    <x v="7"/>
    <x v="1"/>
    <n v="800"/>
    <n v="2"/>
    <x v="10"/>
    <x v="3"/>
    <x v="1"/>
    <x v="3"/>
    <x v="2"/>
    <s v="OK"/>
    <s v="Mar"/>
    <s v="Sunday"/>
    <s v="Delivered"/>
  </r>
  <r>
    <s v="ORD0040"/>
    <x v="30"/>
    <x v="2"/>
    <x v="1"/>
    <n v="150"/>
    <n v="1"/>
    <x v="22"/>
    <x v="1"/>
    <x v="7"/>
    <x v="4"/>
    <x v="1"/>
    <s v="OK"/>
    <s v="Mar"/>
    <s v="Wednesday"/>
    <s v="Pending"/>
  </r>
  <r>
    <s v="ORD0041"/>
    <x v="13"/>
    <x v="5"/>
    <x v="3"/>
    <n v="15"/>
    <n v="1"/>
    <x v="16"/>
    <x v="9"/>
    <x v="5"/>
    <x v="2"/>
    <x v="0"/>
    <s v="OK"/>
    <s v="Feb"/>
    <s v="Thursday"/>
    <s v="Cancelled"/>
  </r>
  <r>
    <s v="ORD0042"/>
    <x v="31"/>
    <x v="1"/>
    <x v="1"/>
    <n v="100"/>
    <n v="3"/>
    <x v="14"/>
    <x v="9"/>
    <x v="9"/>
    <x v="1"/>
    <x v="0"/>
    <s v="OK"/>
    <s v="Mar"/>
    <s v="Monday"/>
    <s v="Cancelled"/>
  </r>
  <r>
    <s v="ORD0043"/>
    <x v="32"/>
    <x v="3"/>
    <x v="2"/>
    <n v="20"/>
    <n v="4"/>
    <x v="23"/>
    <x v="9"/>
    <x v="2"/>
    <x v="2"/>
    <x v="1"/>
    <s v="OK"/>
    <s v="Feb"/>
    <s v="Saturday"/>
    <s v="Pending"/>
  </r>
  <r>
    <s v="ORD0044"/>
    <x v="21"/>
    <x v="2"/>
    <x v="1"/>
    <n v="150"/>
    <n v="1"/>
    <x v="22"/>
    <x v="8"/>
    <x v="4"/>
    <x v="0"/>
    <x v="1"/>
    <s v="OK"/>
    <s v="Mar"/>
    <s v="Monday"/>
    <s v="Pending"/>
  </r>
  <r>
    <s v="ORD0045"/>
    <x v="33"/>
    <x v="9"/>
    <x v="4"/>
    <n v="1200"/>
    <n v="3"/>
    <x v="17"/>
    <x v="7"/>
    <x v="0"/>
    <x v="2"/>
    <x v="1"/>
    <s v="OK"/>
    <s v="Mar"/>
    <s v="Saturday"/>
    <s v="Pending"/>
  </r>
  <r>
    <s v="ORD0046"/>
    <x v="34"/>
    <x v="0"/>
    <x v="0"/>
    <n v="60"/>
    <n v="2"/>
    <x v="2"/>
    <x v="5"/>
    <x v="4"/>
    <x v="0"/>
    <x v="0"/>
    <s v="OK"/>
    <s v="Mar"/>
    <s v="Thursday"/>
    <s v="Cancelled"/>
  </r>
  <r>
    <s v="ORD0047"/>
    <x v="30"/>
    <x v="3"/>
    <x v="2"/>
    <n v="20"/>
    <n v="2"/>
    <x v="24"/>
    <x v="8"/>
    <x v="5"/>
    <x v="4"/>
    <x v="0"/>
    <s v="OK"/>
    <s v="Mar"/>
    <s v="Wednesday"/>
    <s v="Cancelled"/>
  </r>
  <r>
    <s v="ORD0048"/>
    <x v="35"/>
    <x v="3"/>
    <x v="2"/>
    <n v="20"/>
    <n v="5"/>
    <x v="19"/>
    <x v="9"/>
    <x v="2"/>
    <x v="1"/>
    <x v="2"/>
    <s v="OK"/>
    <s v="Feb"/>
    <s v="Tuesday"/>
    <s v="Delivered"/>
  </r>
  <r>
    <s v="ORD0049"/>
    <x v="36"/>
    <x v="4"/>
    <x v="1"/>
    <n v="500"/>
    <n v="4"/>
    <x v="20"/>
    <x v="0"/>
    <x v="9"/>
    <x v="0"/>
    <x v="2"/>
    <s v="OK"/>
    <s v="Feb"/>
    <s v="Tuesday"/>
    <s v="Delivered"/>
  </r>
  <r>
    <s v="ORD0050"/>
    <x v="0"/>
    <x v="6"/>
    <x v="2"/>
    <n v="40"/>
    <n v="3"/>
    <x v="2"/>
    <x v="2"/>
    <x v="6"/>
    <x v="4"/>
    <x v="2"/>
    <s v="OK"/>
    <s v="Mar"/>
    <s v="Friday"/>
    <s v="Delivered"/>
  </r>
  <r>
    <s v="ORD0051"/>
    <x v="3"/>
    <x v="5"/>
    <x v="3"/>
    <n v="15"/>
    <n v="1"/>
    <x v="16"/>
    <x v="0"/>
    <x v="4"/>
    <x v="4"/>
    <x v="0"/>
    <s v="OK"/>
    <s v="Feb"/>
    <s v="Wednesday"/>
    <s v="Cancelled"/>
  </r>
  <r>
    <s v="ORD0052"/>
    <x v="37"/>
    <x v="7"/>
    <x v="1"/>
    <n v="800"/>
    <n v="3"/>
    <x v="21"/>
    <x v="2"/>
    <x v="1"/>
    <x v="2"/>
    <x v="1"/>
    <s v="OK"/>
    <s v="Feb"/>
    <s v="Monday"/>
    <s v="Pending"/>
  </r>
  <r>
    <s v="ORD0053"/>
    <x v="21"/>
    <x v="0"/>
    <x v="0"/>
    <n v="60"/>
    <n v="4"/>
    <x v="25"/>
    <x v="1"/>
    <x v="8"/>
    <x v="3"/>
    <x v="2"/>
    <s v="OK"/>
    <s v="Mar"/>
    <s v="Monday"/>
    <s v="Delivered"/>
  </r>
  <r>
    <s v="ORD0054"/>
    <x v="33"/>
    <x v="2"/>
    <x v="1"/>
    <n v="150"/>
    <n v="3"/>
    <x v="3"/>
    <x v="5"/>
    <x v="6"/>
    <x v="4"/>
    <x v="1"/>
    <s v="OK"/>
    <s v="Mar"/>
    <s v="Saturday"/>
    <s v="Pending"/>
  </r>
  <r>
    <s v="ORD0055"/>
    <x v="33"/>
    <x v="6"/>
    <x v="2"/>
    <n v="40"/>
    <n v="2"/>
    <x v="23"/>
    <x v="4"/>
    <x v="3"/>
    <x v="3"/>
    <x v="2"/>
    <s v="OK"/>
    <s v="Mar"/>
    <s v="Saturday"/>
    <s v="Delivered"/>
  </r>
  <r>
    <s v="ORD0056"/>
    <x v="38"/>
    <x v="2"/>
    <x v="1"/>
    <n v="150"/>
    <n v="2"/>
    <x v="14"/>
    <x v="0"/>
    <x v="3"/>
    <x v="2"/>
    <x v="2"/>
    <s v="OK"/>
    <s v="Mar"/>
    <s v="Wednesday"/>
    <s v="Delivered"/>
  </r>
  <r>
    <s v="ORD0057"/>
    <x v="33"/>
    <x v="4"/>
    <x v="1"/>
    <n v="500"/>
    <n v="1"/>
    <x v="6"/>
    <x v="9"/>
    <x v="8"/>
    <x v="0"/>
    <x v="0"/>
    <s v="OK"/>
    <s v="Mar"/>
    <s v="Saturday"/>
    <s v="Cancelled"/>
  </r>
  <r>
    <s v="ORD0058"/>
    <x v="10"/>
    <x v="4"/>
    <x v="1"/>
    <n v="500"/>
    <n v="1"/>
    <x v="6"/>
    <x v="9"/>
    <x v="9"/>
    <x v="3"/>
    <x v="0"/>
    <s v="OK"/>
    <s v="Mar"/>
    <s v="Thursday"/>
    <s v="Cancelled"/>
  </r>
  <r>
    <s v="ORD0059"/>
    <x v="15"/>
    <x v="2"/>
    <x v="1"/>
    <n v="150"/>
    <n v="2"/>
    <x v="14"/>
    <x v="7"/>
    <x v="3"/>
    <x v="2"/>
    <x v="0"/>
    <s v="OK"/>
    <s v="Apr"/>
    <s v="Tuesday"/>
    <s v="Cancelled"/>
  </r>
  <r>
    <s v="ORD0060"/>
    <x v="8"/>
    <x v="5"/>
    <x v="3"/>
    <n v="15"/>
    <n v="5"/>
    <x v="18"/>
    <x v="9"/>
    <x v="3"/>
    <x v="2"/>
    <x v="1"/>
    <s v="OK"/>
    <s v="Mar"/>
    <s v="Wednesday"/>
    <s v="Pending"/>
  </r>
  <r>
    <s v="ORD0061"/>
    <x v="39"/>
    <x v="9"/>
    <x v="4"/>
    <n v="1200"/>
    <n v="1"/>
    <x v="12"/>
    <x v="9"/>
    <x v="0"/>
    <x v="3"/>
    <x v="0"/>
    <s v="OK"/>
    <s v="Mar"/>
    <s v="Tuesday"/>
    <s v="Cancelled"/>
  </r>
  <r>
    <s v="ORD0062"/>
    <x v="16"/>
    <x v="7"/>
    <x v="1"/>
    <n v="800"/>
    <n v="5"/>
    <x v="26"/>
    <x v="3"/>
    <x v="1"/>
    <x v="3"/>
    <x v="2"/>
    <s v="OK"/>
    <s v="Feb"/>
    <s v="Monday"/>
    <s v="Delivered"/>
  </r>
  <r>
    <s v="ORD0063"/>
    <x v="40"/>
    <x v="4"/>
    <x v="1"/>
    <n v="500"/>
    <n v="5"/>
    <x v="27"/>
    <x v="0"/>
    <x v="5"/>
    <x v="4"/>
    <x v="2"/>
    <s v="OK"/>
    <s v="Mar"/>
    <s v="Sunday"/>
    <s v="Delivered"/>
  </r>
  <r>
    <s v="ORD0064"/>
    <x v="41"/>
    <x v="9"/>
    <x v="4"/>
    <n v="1200"/>
    <n v="4"/>
    <x v="15"/>
    <x v="1"/>
    <x v="2"/>
    <x v="3"/>
    <x v="1"/>
    <s v="OK"/>
    <s v="Feb"/>
    <s v="Thursday"/>
    <s v="Pending"/>
  </r>
  <r>
    <s v="ORD0065"/>
    <x v="42"/>
    <x v="5"/>
    <x v="3"/>
    <n v="15"/>
    <n v="3"/>
    <x v="28"/>
    <x v="0"/>
    <x v="1"/>
    <x v="1"/>
    <x v="1"/>
    <s v="OK"/>
    <s v="Mar"/>
    <s v="Sunday"/>
    <s v="Pending"/>
  </r>
  <r>
    <s v="ORD0066"/>
    <x v="0"/>
    <x v="2"/>
    <x v="1"/>
    <n v="150"/>
    <n v="2"/>
    <x v="14"/>
    <x v="6"/>
    <x v="2"/>
    <x v="3"/>
    <x v="1"/>
    <s v="OK"/>
    <s v="Mar"/>
    <s v="Friday"/>
    <s v="Pending"/>
  </r>
  <r>
    <s v="ORD0067"/>
    <x v="43"/>
    <x v="1"/>
    <x v="1"/>
    <n v="100"/>
    <n v="3"/>
    <x v="14"/>
    <x v="8"/>
    <x v="0"/>
    <x v="0"/>
    <x v="1"/>
    <s v="OK"/>
    <s v="Mar"/>
    <s v="Monday"/>
    <s v="Pending"/>
  </r>
  <r>
    <s v="ORD0068"/>
    <x v="20"/>
    <x v="1"/>
    <x v="1"/>
    <n v="100"/>
    <n v="1"/>
    <x v="19"/>
    <x v="5"/>
    <x v="4"/>
    <x v="0"/>
    <x v="0"/>
    <s v="OK"/>
    <s v="Feb"/>
    <s v="Sunday"/>
    <s v="Cancelled"/>
  </r>
  <r>
    <s v="ORD0069"/>
    <x v="44"/>
    <x v="9"/>
    <x v="4"/>
    <n v="1200"/>
    <n v="4"/>
    <x v="15"/>
    <x v="5"/>
    <x v="6"/>
    <x v="4"/>
    <x v="1"/>
    <s v="OK"/>
    <s v="Feb"/>
    <s v="Tuesday"/>
    <s v="Pending"/>
  </r>
  <r>
    <s v="ORD0070"/>
    <x v="4"/>
    <x v="5"/>
    <x v="3"/>
    <n v="15"/>
    <n v="1"/>
    <x v="16"/>
    <x v="1"/>
    <x v="6"/>
    <x v="2"/>
    <x v="2"/>
    <s v="OK"/>
    <s v="Mar"/>
    <s v="Monday"/>
    <s v="Delivered"/>
  </r>
  <r>
    <s v="ORD0071"/>
    <x v="42"/>
    <x v="2"/>
    <x v="1"/>
    <n v="150"/>
    <n v="5"/>
    <x v="29"/>
    <x v="2"/>
    <x v="2"/>
    <x v="2"/>
    <x v="1"/>
    <s v="OK"/>
    <s v="Mar"/>
    <s v="Sunday"/>
    <s v="Pending"/>
  </r>
  <r>
    <s v="ORD0072"/>
    <x v="18"/>
    <x v="7"/>
    <x v="1"/>
    <n v="800"/>
    <n v="3"/>
    <x v="21"/>
    <x v="7"/>
    <x v="4"/>
    <x v="2"/>
    <x v="1"/>
    <s v="OK"/>
    <s v="Mar"/>
    <s v="Friday"/>
    <s v="Pending"/>
  </r>
  <r>
    <s v="ORD0073"/>
    <x v="13"/>
    <x v="4"/>
    <x v="1"/>
    <n v="500"/>
    <n v="5"/>
    <x v="27"/>
    <x v="1"/>
    <x v="5"/>
    <x v="2"/>
    <x v="0"/>
    <s v="OK"/>
    <s v="Feb"/>
    <s v="Thursday"/>
    <s v="Cancelled"/>
  </r>
  <r>
    <s v="ORD0074"/>
    <x v="45"/>
    <x v="9"/>
    <x v="4"/>
    <n v="1200"/>
    <n v="4"/>
    <x v="15"/>
    <x v="9"/>
    <x v="3"/>
    <x v="4"/>
    <x v="0"/>
    <s v="OK"/>
    <s v="Mar"/>
    <s v="Tuesday"/>
    <s v="Cancelled"/>
  </r>
  <r>
    <s v="ORD0075"/>
    <x v="14"/>
    <x v="1"/>
    <x v="1"/>
    <n v="100"/>
    <n v="2"/>
    <x v="30"/>
    <x v="7"/>
    <x v="6"/>
    <x v="3"/>
    <x v="1"/>
    <s v="OK"/>
    <s v="Feb"/>
    <s v="Wednesday"/>
    <s v="Pending"/>
  </r>
  <r>
    <s v="ORD0076"/>
    <x v="37"/>
    <x v="8"/>
    <x v="4"/>
    <n v="600"/>
    <n v="1"/>
    <x v="5"/>
    <x v="9"/>
    <x v="3"/>
    <x v="1"/>
    <x v="2"/>
    <s v="OK"/>
    <s v="Feb"/>
    <s v="Monday"/>
    <s v="Delivered"/>
  </r>
  <r>
    <s v="ORD0077"/>
    <x v="1"/>
    <x v="1"/>
    <x v="1"/>
    <n v="100"/>
    <n v="2"/>
    <x v="30"/>
    <x v="7"/>
    <x v="4"/>
    <x v="2"/>
    <x v="2"/>
    <s v="OK"/>
    <s v="Mar"/>
    <s v="Thursday"/>
    <s v="Delivered"/>
  </r>
  <r>
    <s v="ORD0078"/>
    <x v="5"/>
    <x v="2"/>
    <x v="1"/>
    <n v="150"/>
    <n v="2"/>
    <x v="14"/>
    <x v="0"/>
    <x v="8"/>
    <x v="4"/>
    <x v="0"/>
    <s v="OK"/>
    <s v="Mar"/>
    <s v="Tuesday"/>
    <s v="Cancelled"/>
  </r>
  <r>
    <s v="ORD0079"/>
    <x v="46"/>
    <x v="0"/>
    <x v="0"/>
    <n v="60"/>
    <n v="2"/>
    <x v="2"/>
    <x v="1"/>
    <x v="2"/>
    <x v="4"/>
    <x v="0"/>
    <s v="OK"/>
    <s v="Mar"/>
    <s v="Sunday"/>
    <s v="Cancelled"/>
  </r>
  <r>
    <s v="ORD0080"/>
    <x v="20"/>
    <x v="0"/>
    <x v="0"/>
    <n v="60"/>
    <n v="4"/>
    <x v="25"/>
    <x v="4"/>
    <x v="1"/>
    <x v="0"/>
    <x v="1"/>
    <s v="OK"/>
    <s v="Feb"/>
    <s v="Sunday"/>
    <s v="Pending"/>
  </r>
  <r>
    <s v="ORD0081"/>
    <x v="14"/>
    <x v="1"/>
    <x v="1"/>
    <n v="100"/>
    <n v="3"/>
    <x v="14"/>
    <x v="6"/>
    <x v="9"/>
    <x v="3"/>
    <x v="0"/>
    <s v="OK"/>
    <s v="Feb"/>
    <s v="Wednesday"/>
    <s v="Cancelled"/>
  </r>
  <r>
    <s v="ORD0082"/>
    <x v="37"/>
    <x v="4"/>
    <x v="1"/>
    <n v="500"/>
    <n v="3"/>
    <x v="31"/>
    <x v="9"/>
    <x v="7"/>
    <x v="0"/>
    <x v="0"/>
    <s v="OK"/>
    <s v="Feb"/>
    <s v="Monday"/>
    <s v="Cancelled"/>
  </r>
  <r>
    <s v="ORD0083"/>
    <x v="47"/>
    <x v="8"/>
    <x v="4"/>
    <n v="600"/>
    <n v="4"/>
    <x v="21"/>
    <x v="0"/>
    <x v="4"/>
    <x v="4"/>
    <x v="0"/>
    <s v="OK"/>
    <s v="Feb"/>
    <s v="Friday"/>
    <s v="Cancelled"/>
  </r>
  <r>
    <s v="ORD0084"/>
    <x v="22"/>
    <x v="3"/>
    <x v="2"/>
    <n v="20"/>
    <n v="5"/>
    <x v="19"/>
    <x v="3"/>
    <x v="6"/>
    <x v="3"/>
    <x v="2"/>
    <s v="OK"/>
    <s v="Feb"/>
    <s v="Friday"/>
    <s v="Delivered"/>
  </r>
  <r>
    <s v="ORD0085"/>
    <x v="48"/>
    <x v="4"/>
    <x v="1"/>
    <n v="500"/>
    <n v="5"/>
    <x v="27"/>
    <x v="6"/>
    <x v="4"/>
    <x v="3"/>
    <x v="2"/>
    <s v="OK"/>
    <s v="Feb"/>
    <s v="Thursday"/>
    <s v="Delivered"/>
  </r>
  <r>
    <s v="ORD0086"/>
    <x v="44"/>
    <x v="2"/>
    <x v="1"/>
    <n v="150"/>
    <n v="5"/>
    <x v="29"/>
    <x v="9"/>
    <x v="3"/>
    <x v="3"/>
    <x v="0"/>
    <s v="OK"/>
    <s v="Feb"/>
    <s v="Tuesday"/>
    <s v="Cancelled"/>
  </r>
  <r>
    <s v="ORD0087"/>
    <x v="10"/>
    <x v="0"/>
    <x v="0"/>
    <n v="60"/>
    <n v="5"/>
    <x v="14"/>
    <x v="0"/>
    <x v="5"/>
    <x v="0"/>
    <x v="2"/>
    <s v="OK"/>
    <s v="Mar"/>
    <s v="Thursday"/>
    <s v="Delivered"/>
  </r>
  <r>
    <s v="ORD0088"/>
    <x v="48"/>
    <x v="9"/>
    <x v="4"/>
    <n v="1200"/>
    <n v="2"/>
    <x v="21"/>
    <x v="8"/>
    <x v="7"/>
    <x v="0"/>
    <x v="1"/>
    <s v="OK"/>
    <s v="Feb"/>
    <s v="Thursday"/>
    <s v="Pending"/>
  </r>
  <r>
    <s v="ORD0089"/>
    <x v="30"/>
    <x v="0"/>
    <x v="0"/>
    <n v="60"/>
    <n v="5"/>
    <x v="14"/>
    <x v="0"/>
    <x v="8"/>
    <x v="2"/>
    <x v="0"/>
    <s v="OK"/>
    <s v="Mar"/>
    <s v="Wednesday"/>
    <s v="Cancelled"/>
  </r>
  <r>
    <s v="ORD0090"/>
    <x v="21"/>
    <x v="2"/>
    <x v="1"/>
    <n v="150"/>
    <n v="5"/>
    <x v="29"/>
    <x v="1"/>
    <x v="4"/>
    <x v="1"/>
    <x v="2"/>
    <s v="OK"/>
    <s v="Mar"/>
    <s v="Monday"/>
    <s v="Delivered"/>
  </r>
  <r>
    <s v="ORD0091"/>
    <x v="24"/>
    <x v="7"/>
    <x v="1"/>
    <n v="800"/>
    <n v="4"/>
    <x v="32"/>
    <x v="7"/>
    <x v="4"/>
    <x v="4"/>
    <x v="1"/>
    <s v="OK"/>
    <s v="Feb"/>
    <s v="Monday"/>
    <s v="Pending"/>
  </r>
  <r>
    <s v="ORD0092"/>
    <x v="33"/>
    <x v="4"/>
    <x v="1"/>
    <n v="500"/>
    <n v="2"/>
    <x v="13"/>
    <x v="3"/>
    <x v="6"/>
    <x v="3"/>
    <x v="0"/>
    <s v="OK"/>
    <s v="Mar"/>
    <s v="Saturday"/>
    <s v="Cancelled"/>
  </r>
  <r>
    <s v="ORD0093"/>
    <x v="34"/>
    <x v="9"/>
    <x v="4"/>
    <n v="1200"/>
    <n v="5"/>
    <x v="33"/>
    <x v="5"/>
    <x v="2"/>
    <x v="3"/>
    <x v="0"/>
    <s v="OK"/>
    <s v="Mar"/>
    <s v="Thursday"/>
    <s v="Cancelled"/>
  </r>
  <r>
    <s v="ORD0094"/>
    <x v="45"/>
    <x v="6"/>
    <x v="2"/>
    <n v="40"/>
    <n v="5"/>
    <x v="30"/>
    <x v="7"/>
    <x v="7"/>
    <x v="2"/>
    <x v="0"/>
    <s v="OK"/>
    <s v="Mar"/>
    <s v="Tuesday"/>
    <s v="Cancelled"/>
  </r>
  <r>
    <s v="ORD0095"/>
    <x v="9"/>
    <x v="2"/>
    <x v="1"/>
    <n v="150"/>
    <n v="4"/>
    <x v="5"/>
    <x v="8"/>
    <x v="0"/>
    <x v="0"/>
    <x v="0"/>
    <s v="OK"/>
    <s v="Feb"/>
    <s v="Monday"/>
    <s v="Cancelled"/>
  </r>
  <r>
    <s v="ORD0096"/>
    <x v="40"/>
    <x v="2"/>
    <x v="1"/>
    <n v="150"/>
    <n v="3"/>
    <x v="3"/>
    <x v="9"/>
    <x v="0"/>
    <x v="1"/>
    <x v="2"/>
    <s v="OK"/>
    <s v="Mar"/>
    <s v="Sunday"/>
    <s v="Delivered"/>
  </r>
  <r>
    <s v="ORD0097"/>
    <x v="45"/>
    <x v="5"/>
    <x v="3"/>
    <n v="15"/>
    <n v="5"/>
    <x v="18"/>
    <x v="3"/>
    <x v="9"/>
    <x v="1"/>
    <x v="1"/>
    <s v="OK"/>
    <s v="Mar"/>
    <s v="Tuesday"/>
    <s v="Pending"/>
  </r>
  <r>
    <s v="ORD0098"/>
    <x v="22"/>
    <x v="2"/>
    <x v="1"/>
    <n v="150"/>
    <n v="2"/>
    <x v="14"/>
    <x v="8"/>
    <x v="5"/>
    <x v="3"/>
    <x v="1"/>
    <s v="OK"/>
    <s v="Feb"/>
    <s v="Friday"/>
    <s v="Pending"/>
  </r>
  <r>
    <s v="ORD0099"/>
    <x v="36"/>
    <x v="8"/>
    <x v="4"/>
    <n v="600"/>
    <n v="5"/>
    <x v="34"/>
    <x v="6"/>
    <x v="7"/>
    <x v="0"/>
    <x v="2"/>
    <s v="OK"/>
    <s v="Feb"/>
    <s v="Tuesday"/>
    <s v="Delivered"/>
  </r>
  <r>
    <s v="ORD0100"/>
    <x v="41"/>
    <x v="0"/>
    <x v="0"/>
    <n v="60"/>
    <n v="1"/>
    <x v="7"/>
    <x v="9"/>
    <x v="4"/>
    <x v="4"/>
    <x v="0"/>
    <s v="OK"/>
    <s v="Feb"/>
    <s v="Thursday"/>
    <s v="Cancelled"/>
  </r>
  <r>
    <s v="ORD0101"/>
    <x v="13"/>
    <x v="5"/>
    <x v="3"/>
    <n v="15"/>
    <n v="5"/>
    <x v="18"/>
    <x v="2"/>
    <x v="2"/>
    <x v="3"/>
    <x v="1"/>
    <s v="OK"/>
    <s v="Feb"/>
    <s v="Thursday"/>
    <s v="Pending"/>
  </r>
  <r>
    <s v="ORD0102"/>
    <x v="47"/>
    <x v="4"/>
    <x v="1"/>
    <n v="500"/>
    <n v="2"/>
    <x v="13"/>
    <x v="5"/>
    <x v="6"/>
    <x v="3"/>
    <x v="1"/>
    <s v="OK"/>
    <s v="Feb"/>
    <s v="Friday"/>
    <s v="Pending"/>
  </r>
  <r>
    <s v="ORD0103"/>
    <x v="0"/>
    <x v="3"/>
    <x v="2"/>
    <n v="20"/>
    <n v="2"/>
    <x v="24"/>
    <x v="6"/>
    <x v="9"/>
    <x v="3"/>
    <x v="1"/>
    <s v="OK"/>
    <s v="Mar"/>
    <s v="Friday"/>
    <s v="Pending"/>
  </r>
  <r>
    <s v="ORD0104"/>
    <x v="49"/>
    <x v="6"/>
    <x v="2"/>
    <n v="40"/>
    <n v="5"/>
    <x v="30"/>
    <x v="9"/>
    <x v="3"/>
    <x v="0"/>
    <x v="1"/>
    <s v="OK"/>
    <s v="Feb"/>
    <s v="Saturday"/>
    <s v="Pending"/>
  </r>
  <r>
    <s v="ORD0105"/>
    <x v="42"/>
    <x v="6"/>
    <x v="2"/>
    <n v="40"/>
    <n v="1"/>
    <x v="24"/>
    <x v="9"/>
    <x v="6"/>
    <x v="0"/>
    <x v="1"/>
    <s v="OK"/>
    <s v="Mar"/>
    <s v="Sunday"/>
    <s v="Pending"/>
  </r>
  <r>
    <s v="ORD0106"/>
    <x v="33"/>
    <x v="3"/>
    <x v="2"/>
    <n v="20"/>
    <n v="3"/>
    <x v="7"/>
    <x v="3"/>
    <x v="9"/>
    <x v="3"/>
    <x v="1"/>
    <s v="OK"/>
    <s v="Mar"/>
    <s v="Saturday"/>
    <s v="Pending"/>
  </r>
  <r>
    <s v="ORD0107"/>
    <x v="38"/>
    <x v="6"/>
    <x v="2"/>
    <n v="40"/>
    <n v="3"/>
    <x v="2"/>
    <x v="3"/>
    <x v="3"/>
    <x v="2"/>
    <x v="0"/>
    <s v="OK"/>
    <s v="Mar"/>
    <s v="Wednesday"/>
    <s v="Cancelled"/>
  </r>
  <r>
    <s v="ORD0108"/>
    <x v="42"/>
    <x v="1"/>
    <x v="1"/>
    <n v="100"/>
    <n v="2"/>
    <x v="30"/>
    <x v="7"/>
    <x v="5"/>
    <x v="3"/>
    <x v="1"/>
    <s v="OK"/>
    <s v="Mar"/>
    <s v="Sunday"/>
    <s v="Pending"/>
  </r>
  <r>
    <s v="ORD0109"/>
    <x v="31"/>
    <x v="6"/>
    <x v="2"/>
    <n v="40"/>
    <n v="5"/>
    <x v="30"/>
    <x v="6"/>
    <x v="0"/>
    <x v="3"/>
    <x v="2"/>
    <s v="OK"/>
    <s v="Mar"/>
    <s v="Monday"/>
    <s v="Delivered"/>
  </r>
  <r>
    <s v="ORD0110"/>
    <x v="36"/>
    <x v="4"/>
    <x v="1"/>
    <n v="500"/>
    <n v="5"/>
    <x v="27"/>
    <x v="3"/>
    <x v="3"/>
    <x v="1"/>
    <x v="1"/>
    <s v="OK"/>
    <s v="Feb"/>
    <s v="Tuesday"/>
    <s v="Pending"/>
  </r>
  <r>
    <s v="ORD0111"/>
    <x v="43"/>
    <x v="7"/>
    <x v="1"/>
    <n v="800"/>
    <n v="4"/>
    <x v="32"/>
    <x v="0"/>
    <x v="8"/>
    <x v="2"/>
    <x v="2"/>
    <s v="OK"/>
    <s v="Mar"/>
    <s v="Monday"/>
    <s v="Delivered"/>
  </r>
  <r>
    <s v="ORD0112"/>
    <x v="34"/>
    <x v="8"/>
    <x v="4"/>
    <n v="600"/>
    <n v="2"/>
    <x v="12"/>
    <x v="5"/>
    <x v="3"/>
    <x v="4"/>
    <x v="0"/>
    <s v="OK"/>
    <s v="Mar"/>
    <s v="Thursday"/>
    <s v="Cancelled"/>
  </r>
  <r>
    <s v="ORD0113"/>
    <x v="38"/>
    <x v="5"/>
    <x v="3"/>
    <n v="15"/>
    <n v="5"/>
    <x v="18"/>
    <x v="5"/>
    <x v="1"/>
    <x v="0"/>
    <x v="1"/>
    <s v="OK"/>
    <s v="Mar"/>
    <s v="Wednesday"/>
    <s v="Pending"/>
  </r>
  <r>
    <s v="ORD0114"/>
    <x v="20"/>
    <x v="0"/>
    <x v="0"/>
    <n v="60"/>
    <n v="1"/>
    <x v="7"/>
    <x v="0"/>
    <x v="4"/>
    <x v="2"/>
    <x v="1"/>
    <s v="OK"/>
    <s v="Feb"/>
    <s v="Sunday"/>
    <s v="Pending"/>
  </r>
  <r>
    <s v="ORD0115"/>
    <x v="50"/>
    <x v="0"/>
    <x v="0"/>
    <n v="60"/>
    <n v="3"/>
    <x v="0"/>
    <x v="3"/>
    <x v="5"/>
    <x v="1"/>
    <x v="2"/>
    <s v="OK"/>
    <s v="Mar"/>
    <s v="Friday"/>
    <s v="Delivered"/>
  </r>
  <r>
    <s v="ORD0116"/>
    <x v="38"/>
    <x v="7"/>
    <x v="1"/>
    <n v="800"/>
    <n v="4"/>
    <x v="32"/>
    <x v="0"/>
    <x v="8"/>
    <x v="1"/>
    <x v="2"/>
    <s v="OK"/>
    <s v="Mar"/>
    <s v="Wednesday"/>
    <s v="Delivered"/>
  </r>
  <r>
    <s v="ORD0117"/>
    <x v="51"/>
    <x v="3"/>
    <x v="2"/>
    <n v="20"/>
    <n v="1"/>
    <x v="4"/>
    <x v="7"/>
    <x v="0"/>
    <x v="2"/>
    <x v="2"/>
    <s v="OK"/>
    <s v="Feb"/>
    <s v="Thursday"/>
    <s v="Delivered"/>
  </r>
  <r>
    <s v="ORD0118"/>
    <x v="16"/>
    <x v="1"/>
    <x v="1"/>
    <n v="100"/>
    <n v="5"/>
    <x v="6"/>
    <x v="2"/>
    <x v="4"/>
    <x v="1"/>
    <x v="2"/>
    <s v="OK"/>
    <s v="Feb"/>
    <s v="Monday"/>
    <s v="Delivered"/>
  </r>
  <r>
    <s v="ORD0119"/>
    <x v="42"/>
    <x v="4"/>
    <x v="1"/>
    <n v="500"/>
    <n v="2"/>
    <x v="13"/>
    <x v="8"/>
    <x v="9"/>
    <x v="3"/>
    <x v="1"/>
    <s v="OK"/>
    <s v="Mar"/>
    <s v="Sunday"/>
    <s v="Pending"/>
  </r>
  <r>
    <s v="ORD0120"/>
    <x v="29"/>
    <x v="7"/>
    <x v="1"/>
    <n v="800"/>
    <n v="5"/>
    <x v="26"/>
    <x v="1"/>
    <x v="2"/>
    <x v="3"/>
    <x v="2"/>
    <s v="OK"/>
    <s v="Feb"/>
    <s v="Sunday"/>
    <s v="Delivered"/>
  </r>
  <r>
    <s v="ORD0121"/>
    <x v="36"/>
    <x v="4"/>
    <x v="1"/>
    <n v="500"/>
    <n v="1"/>
    <x v="6"/>
    <x v="2"/>
    <x v="3"/>
    <x v="4"/>
    <x v="1"/>
    <s v="OK"/>
    <s v="Feb"/>
    <s v="Tuesday"/>
    <s v="Pending"/>
  </r>
  <r>
    <s v="ORD0122"/>
    <x v="52"/>
    <x v="7"/>
    <x v="1"/>
    <n v="800"/>
    <n v="3"/>
    <x v="21"/>
    <x v="2"/>
    <x v="5"/>
    <x v="2"/>
    <x v="0"/>
    <s v="OK"/>
    <s v="Mar"/>
    <s v="Friday"/>
    <s v="Cancelled"/>
  </r>
  <r>
    <s v="ORD0123"/>
    <x v="20"/>
    <x v="5"/>
    <x v="3"/>
    <n v="15"/>
    <n v="3"/>
    <x v="28"/>
    <x v="8"/>
    <x v="6"/>
    <x v="4"/>
    <x v="0"/>
    <s v="OK"/>
    <s v="Feb"/>
    <s v="Sunday"/>
    <s v="Cancelled"/>
  </r>
  <r>
    <s v="ORD0124"/>
    <x v="16"/>
    <x v="5"/>
    <x v="3"/>
    <n v="15"/>
    <n v="1"/>
    <x v="16"/>
    <x v="0"/>
    <x v="7"/>
    <x v="4"/>
    <x v="1"/>
    <s v="OK"/>
    <s v="Feb"/>
    <s v="Monday"/>
    <s v="Pending"/>
  </r>
  <r>
    <s v="ORD0125"/>
    <x v="20"/>
    <x v="4"/>
    <x v="1"/>
    <n v="500"/>
    <n v="1"/>
    <x v="6"/>
    <x v="1"/>
    <x v="2"/>
    <x v="1"/>
    <x v="2"/>
    <s v="OK"/>
    <s v="Feb"/>
    <s v="Sunday"/>
    <s v="Delivered"/>
  </r>
  <r>
    <s v="ORD0126"/>
    <x v="26"/>
    <x v="9"/>
    <x v="4"/>
    <n v="1200"/>
    <n v="5"/>
    <x v="33"/>
    <x v="3"/>
    <x v="9"/>
    <x v="4"/>
    <x v="1"/>
    <s v="OK"/>
    <s v="Feb"/>
    <s v="Tuesday"/>
    <s v="Pending"/>
  </r>
  <r>
    <s v="ORD0127"/>
    <x v="36"/>
    <x v="3"/>
    <x v="2"/>
    <n v="20"/>
    <n v="3"/>
    <x v="7"/>
    <x v="0"/>
    <x v="3"/>
    <x v="0"/>
    <x v="2"/>
    <s v="OK"/>
    <s v="Feb"/>
    <s v="Tuesday"/>
    <s v="Delivered"/>
  </r>
  <r>
    <s v="ORD0128"/>
    <x v="53"/>
    <x v="2"/>
    <x v="1"/>
    <n v="150"/>
    <n v="2"/>
    <x v="14"/>
    <x v="1"/>
    <x v="3"/>
    <x v="3"/>
    <x v="0"/>
    <s v="OK"/>
    <s v="Mar"/>
    <s v="Sunday"/>
    <s v="Cancelled"/>
  </r>
  <r>
    <s v="ORD0129"/>
    <x v="14"/>
    <x v="6"/>
    <x v="2"/>
    <n v="40"/>
    <n v="5"/>
    <x v="30"/>
    <x v="1"/>
    <x v="0"/>
    <x v="0"/>
    <x v="1"/>
    <s v="OK"/>
    <s v="Feb"/>
    <s v="Wednesday"/>
    <s v="Pending"/>
  </r>
  <r>
    <s v="ORD0130"/>
    <x v="16"/>
    <x v="2"/>
    <x v="1"/>
    <n v="150"/>
    <n v="5"/>
    <x v="29"/>
    <x v="5"/>
    <x v="6"/>
    <x v="3"/>
    <x v="2"/>
    <s v="OK"/>
    <s v="Feb"/>
    <s v="Monday"/>
    <s v="Delivered"/>
  </r>
  <r>
    <s v="ORD0131"/>
    <x v="14"/>
    <x v="6"/>
    <x v="2"/>
    <n v="40"/>
    <n v="2"/>
    <x v="23"/>
    <x v="7"/>
    <x v="9"/>
    <x v="2"/>
    <x v="1"/>
    <s v="OK"/>
    <s v="Feb"/>
    <s v="Wednesday"/>
    <s v="Pending"/>
  </r>
  <r>
    <s v="ORD0132"/>
    <x v="18"/>
    <x v="4"/>
    <x v="1"/>
    <n v="500"/>
    <n v="2"/>
    <x v="13"/>
    <x v="3"/>
    <x v="9"/>
    <x v="0"/>
    <x v="1"/>
    <s v="OK"/>
    <s v="Mar"/>
    <s v="Friday"/>
    <s v="Pending"/>
  </r>
  <r>
    <s v="ORD0133"/>
    <x v="20"/>
    <x v="7"/>
    <x v="1"/>
    <n v="800"/>
    <n v="1"/>
    <x v="35"/>
    <x v="1"/>
    <x v="0"/>
    <x v="1"/>
    <x v="1"/>
    <s v="OK"/>
    <s v="Feb"/>
    <s v="Sunday"/>
    <s v="Pending"/>
  </r>
  <r>
    <s v="ORD0134"/>
    <x v="23"/>
    <x v="4"/>
    <x v="1"/>
    <n v="500"/>
    <n v="5"/>
    <x v="27"/>
    <x v="5"/>
    <x v="9"/>
    <x v="4"/>
    <x v="1"/>
    <s v="OK"/>
    <s v="Feb"/>
    <s v="Friday"/>
    <s v="Pending"/>
  </r>
  <r>
    <s v="ORD0135"/>
    <x v="16"/>
    <x v="3"/>
    <x v="2"/>
    <n v="20"/>
    <n v="1"/>
    <x v="4"/>
    <x v="3"/>
    <x v="5"/>
    <x v="2"/>
    <x v="1"/>
    <s v="OK"/>
    <s v="Feb"/>
    <s v="Monday"/>
    <s v="Pending"/>
  </r>
  <r>
    <s v="ORD0136"/>
    <x v="35"/>
    <x v="9"/>
    <x v="4"/>
    <n v="1200"/>
    <n v="2"/>
    <x v="21"/>
    <x v="7"/>
    <x v="1"/>
    <x v="3"/>
    <x v="0"/>
    <s v="OK"/>
    <s v="Feb"/>
    <s v="Tuesday"/>
    <s v="Cancelled"/>
  </r>
  <r>
    <s v="ORD0137"/>
    <x v="1"/>
    <x v="2"/>
    <x v="1"/>
    <n v="150"/>
    <n v="3"/>
    <x v="3"/>
    <x v="4"/>
    <x v="1"/>
    <x v="0"/>
    <x v="2"/>
    <s v="OK"/>
    <s v="Mar"/>
    <s v="Thursday"/>
    <s v="Delivered"/>
  </r>
  <r>
    <s v="ORD0138"/>
    <x v="35"/>
    <x v="2"/>
    <x v="1"/>
    <n v="150"/>
    <n v="5"/>
    <x v="29"/>
    <x v="2"/>
    <x v="8"/>
    <x v="2"/>
    <x v="0"/>
    <s v="OK"/>
    <s v="Feb"/>
    <s v="Tuesday"/>
    <s v="Cancelled"/>
  </r>
  <r>
    <s v="ORD0139"/>
    <x v="5"/>
    <x v="7"/>
    <x v="1"/>
    <n v="800"/>
    <n v="2"/>
    <x v="10"/>
    <x v="6"/>
    <x v="2"/>
    <x v="3"/>
    <x v="0"/>
    <s v="OK"/>
    <s v="Mar"/>
    <s v="Tuesday"/>
    <s v="Cancelled"/>
  </r>
  <r>
    <s v="ORD0140"/>
    <x v="38"/>
    <x v="2"/>
    <x v="1"/>
    <n v="150"/>
    <n v="2"/>
    <x v="14"/>
    <x v="3"/>
    <x v="5"/>
    <x v="0"/>
    <x v="2"/>
    <s v="OK"/>
    <s v="Mar"/>
    <s v="Wednesday"/>
    <s v="Delivered"/>
  </r>
  <r>
    <s v="ORD0141"/>
    <x v="50"/>
    <x v="4"/>
    <x v="1"/>
    <n v="500"/>
    <n v="2"/>
    <x v="13"/>
    <x v="2"/>
    <x v="5"/>
    <x v="3"/>
    <x v="2"/>
    <s v="OK"/>
    <s v="Mar"/>
    <s v="Friday"/>
    <s v="Delivered"/>
  </r>
  <r>
    <s v="ORD0142"/>
    <x v="33"/>
    <x v="4"/>
    <x v="1"/>
    <n v="500"/>
    <n v="3"/>
    <x v="31"/>
    <x v="4"/>
    <x v="5"/>
    <x v="4"/>
    <x v="2"/>
    <s v="OK"/>
    <s v="Mar"/>
    <s v="Saturday"/>
    <s v="Delivered"/>
  </r>
  <r>
    <s v="ORD0143"/>
    <x v="43"/>
    <x v="9"/>
    <x v="4"/>
    <n v="1200"/>
    <n v="2"/>
    <x v="21"/>
    <x v="9"/>
    <x v="3"/>
    <x v="3"/>
    <x v="0"/>
    <s v="OK"/>
    <s v="Mar"/>
    <s v="Monday"/>
    <s v="Cancelled"/>
  </r>
  <r>
    <s v="ORD0144"/>
    <x v="51"/>
    <x v="6"/>
    <x v="2"/>
    <n v="40"/>
    <n v="2"/>
    <x v="23"/>
    <x v="6"/>
    <x v="8"/>
    <x v="4"/>
    <x v="0"/>
    <s v="OK"/>
    <s v="Feb"/>
    <s v="Thursday"/>
    <s v="Cancelled"/>
  </r>
  <r>
    <s v="ORD0145"/>
    <x v="7"/>
    <x v="2"/>
    <x v="1"/>
    <n v="150"/>
    <n v="2"/>
    <x v="14"/>
    <x v="6"/>
    <x v="7"/>
    <x v="0"/>
    <x v="0"/>
    <s v="OK"/>
    <s v="Mar"/>
    <s v="Saturday"/>
    <s v="Cancelled"/>
  </r>
  <r>
    <s v="ORD0146"/>
    <x v="45"/>
    <x v="2"/>
    <x v="1"/>
    <n v="150"/>
    <n v="2"/>
    <x v="14"/>
    <x v="0"/>
    <x v="6"/>
    <x v="0"/>
    <x v="2"/>
    <s v="OK"/>
    <s v="Mar"/>
    <s v="Tuesday"/>
    <s v="Delivered"/>
  </r>
  <r>
    <s v="ORD0147"/>
    <x v="19"/>
    <x v="0"/>
    <x v="0"/>
    <n v="60"/>
    <n v="5"/>
    <x v="14"/>
    <x v="9"/>
    <x v="3"/>
    <x v="3"/>
    <x v="1"/>
    <s v="OK"/>
    <s v="Feb"/>
    <s v="Wednesday"/>
    <s v="Pending"/>
  </r>
  <r>
    <s v="ORD0148"/>
    <x v="48"/>
    <x v="1"/>
    <x v="1"/>
    <n v="100"/>
    <n v="4"/>
    <x v="1"/>
    <x v="1"/>
    <x v="8"/>
    <x v="1"/>
    <x v="0"/>
    <s v="OK"/>
    <s v="Feb"/>
    <s v="Thursday"/>
    <s v="Cancelled"/>
  </r>
  <r>
    <s v="ORD0149"/>
    <x v="1"/>
    <x v="0"/>
    <x v="0"/>
    <n v="60"/>
    <n v="3"/>
    <x v="0"/>
    <x v="6"/>
    <x v="0"/>
    <x v="4"/>
    <x v="1"/>
    <s v="OK"/>
    <s v="Mar"/>
    <s v="Thursday"/>
    <s v="Pending"/>
  </r>
  <r>
    <s v="ORD0150"/>
    <x v="32"/>
    <x v="5"/>
    <x v="3"/>
    <n v="15"/>
    <n v="4"/>
    <x v="7"/>
    <x v="7"/>
    <x v="9"/>
    <x v="4"/>
    <x v="0"/>
    <s v="OK"/>
    <s v="Feb"/>
    <s v="Saturday"/>
    <s v="Cancelled"/>
  </r>
  <r>
    <s v="ORD0151"/>
    <x v="54"/>
    <x v="8"/>
    <x v="4"/>
    <n v="600"/>
    <n v="4"/>
    <x v="21"/>
    <x v="9"/>
    <x v="8"/>
    <x v="1"/>
    <x v="1"/>
    <s v="OK"/>
    <s v="Mar"/>
    <s v="Saturday"/>
    <s v="Pending"/>
  </r>
  <r>
    <s v="ORD0152"/>
    <x v="47"/>
    <x v="2"/>
    <x v="1"/>
    <n v="150"/>
    <n v="1"/>
    <x v="22"/>
    <x v="2"/>
    <x v="7"/>
    <x v="4"/>
    <x v="2"/>
    <s v="OK"/>
    <s v="Feb"/>
    <s v="Friday"/>
    <s v="Delivered"/>
  </r>
  <r>
    <s v="ORD0153"/>
    <x v="20"/>
    <x v="2"/>
    <x v="1"/>
    <n v="150"/>
    <n v="5"/>
    <x v="29"/>
    <x v="4"/>
    <x v="1"/>
    <x v="3"/>
    <x v="1"/>
    <s v="OK"/>
    <s v="Feb"/>
    <s v="Sunday"/>
    <s v="Pending"/>
  </r>
  <r>
    <s v="ORD0154"/>
    <x v="11"/>
    <x v="1"/>
    <x v="1"/>
    <n v="100"/>
    <n v="2"/>
    <x v="30"/>
    <x v="2"/>
    <x v="2"/>
    <x v="0"/>
    <x v="2"/>
    <s v="OK"/>
    <s v="Mar"/>
    <s v="Saturday"/>
    <s v="Delivered"/>
  </r>
  <r>
    <s v="ORD0155"/>
    <x v="19"/>
    <x v="9"/>
    <x v="4"/>
    <n v="1200"/>
    <n v="4"/>
    <x v="15"/>
    <x v="4"/>
    <x v="7"/>
    <x v="2"/>
    <x v="1"/>
    <s v="OK"/>
    <s v="Feb"/>
    <s v="Wednesday"/>
    <s v="Pending"/>
  </r>
  <r>
    <s v="ORD0156"/>
    <x v="42"/>
    <x v="2"/>
    <x v="1"/>
    <n v="150"/>
    <n v="4"/>
    <x v="5"/>
    <x v="3"/>
    <x v="5"/>
    <x v="3"/>
    <x v="0"/>
    <s v="OK"/>
    <s v="Mar"/>
    <s v="Sunday"/>
    <s v="Cancelled"/>
  </r>
  <r>
    <s v="ORD0157"/>
    <x v="32"/>
    <x v="4"/>
    <x v="1"/>
    <n v="500"/>
    <n v="3"/>
    <x v="31"/>
    <x v="4"/>
    <x v="2"/>
    <x v="2"/>
    <x v="1"/>
    <s v="OK"/>
    <s v="Feb"/>
    <s v="Saturday"/>
    <s v="Pending"/>
  </r>
  <r>
    <s v="ORD0158"/>
    <x v="37"/>
    <x v="7"/>
    <x v="1"/>
    <n v="800"/>
    <n v="3"/>
    <x v="21"/>
    <x v="8"/>
    <x v="5"/>
    <x v="0"/>
    <x v="1"/>
    <s v="OK"/>
    <s v="Feb"/>
    <s v="Monday"/>
    <s v="Pending"/>
  </r>
  <r>
    <s v="ORD0159"/>
    <x v="29"/>
    <x v="3"/>
    <x v="2"/>
    <n v="20"/>
    <n v="2"/>
    <x v="24"/>
    <x v="5"/>
    <x v="3"/>
    <x v="4"/>
    <x v="0"/>
    <s v="OK"/>
    <s v="Feb"/>
    <s v="Sunday"/>
    <s v="Cancelled"/>
  </r>
  <r>
    <s v="ORD0160"/>
    <x v="48"/>
    <x v="8"/>
    <x v="4"/>
    <n v="600"/>
    <n v="3"/>
    <x v="11"/>
    <x v="3"/>
    <x v="2"/>
    <x v="4"/>
    <x v="0"/>
    <s v="OK"/>
    <s v="Feb"/>
    <s v="Thursday"/>
    <s v="Cancelled"/>
  </r>
  <r>
    <s v="ORD0161"/>
    <x v="49"/>
    <x v="1"/>
    <x v="1"/>
    <n v="100"/>
    <n v="1"/>
    <x v="19"/>
    <x v="1"/>
    <x v="8"/>
    <x v="2"/>
    <x v="2"/>
    <s v="OK"/>
    <s v="Feb"/>
    <s v="Saturday"/>
    <s v="Delivered"/>
  </r>
  <r>
    <s v="ORD0162"/>
    <x v="28"/>
    <x v="4"/>
    <x v="1"/>
    <n v="500"/>
    <n v="2"/>
    <x v="13"/>
    <x v="3"/>
    <x v="9"/>
    <x v="2"/>
    <x v="2"/>
    <s v="OK"/>
    <s v="Feb"/>
    <s v="Sunday"/>
    <s v="Delivered"/>
  </r>
  <r>
    <s v="ORD0163"/>
    <x v="13"/>
    <x v="0"/>
    <x v="0"/>
    <n v="60"/>
    <n v="2"/>
    <x v="2"/>
    <x v="8"/>
    <x v="4"/>
    <x v="3"/>
    <x v="2"/>
    <s v="OK"/>
    <s v="Feb"/>
    <s v="Thursday"/>
    <s v="Delivered"/>
  </r>
  <r>
    <s v="ORD0164"/>
    <x v="44"/>
    <x v="2"/>
    <x v="1"/>
    <n v="150"/>
    <n v="5"/>
    <x v="29"/>
    <x v="6"/>
    <x v="6"/>
    <x v="0"/>
    <x v="1"/>
    <s v="OK"/>
    <s v="Feb"/>
    <s v="Tuesday"/>
    <s v="Pending"/>
  </r>
  <r>
    <s v="ORD0165"/>
    <x v="0"/>
    <x v="5"/>
    <x v="3"/>
    <n v="15"/>
    <n v="1"/>
    <x v="16"/>
    <x v="5"/>
    <x v="0"/>
    <x v="1"/>
    <x v="1"/>
    <s v="OK"/>
    <s v="Mar"/>
    <s v="Friday"/>
    <s v="Pending"/>
  </r>
  <r>
    <s v="ORD0166"/>
    <x v="40"/>
    <x v="8"/>
    <x v="4"/>
    <n v="600"/>
    <n v="4"/>
    <x v="21"/>
    <x v="8"/>
    <x v="4"/>
    <x v="2"/>
    <x v="1"/>
    <s v="OK"/>
    <s v="Mar"/>
    <s v="Sunday"/>
    <s v="Pending"/>
  </r>
  <r>
    <s v="ORD0167"/>
    <x v="1"/>
    <x v="9"/>
    <x v="4"/>
    <n v="1200"/>
    <n v="2"/>
    <x v="21"/>
    <x v="3"/>
    <x v="7"/>
    <x v="2"/>
    <x v="2"/>
    <s v="OK"/>
    <s v="Mar"/>
    <s v="Thursday"/>
    <s v="Delivered"/>
  </r>
  <r>
    <s v="ORD0168"/>
    <x v="21"/>
    <x v="7"/>
    <x v="1"/>
    <n v="800"/>
    <n v="5"/>
    <x v="26"/>
    <x v="6"/>
    <x v="5"/>
    <x v="0"/>
    <x v="1"/>
    <s v="OK"/>
    <s v="Mar"/>
    <s v="Monday"/>
    <s v="Pending"/>
  </r>
  <r>
    <s v="ORD0169"/>
    <x v="34"/>
    <x v="9"/>
    <x v="4"/>
    <n v="1200"/>
    <n v="2"/>
    <x v="21"/>
    <x v="2"/>
    <x v="2"/>
    <x v="3"/>
    <x v="2"/>
    <s v="OK"/>
    <s v="Mar"/>
    <s v="Thursday"/>
    <s v="Delivered"/>
  </r>
  <r>
    <s v="ORD0170"/>
    <x v="47"/>
    <x v="7"/>
    <x v="1"/>
    <n v="800"/>
    <n v="1"/>
    <x v="35"/>
    <x v="0"/>
    <x v="1"/>
    <x v="4"/>
    <x v="1"/>
    <s v="OK"/>
    <s v="Feb"/>
    <s v="Friday"/>
    <s v="Pending"/>
  </r>
  <r>
    <s v="ORD0171"/>
    <x v="47"/>
    <x v="2"/>
    <x v="1"/>
    <n v="150"/>
    <n v="2"/>
    <x v="14"/>
    <x v="7"/>
    <x v="4"/>
    <x v="3"/>
    <x v="2"/>
    <s v="OK"/>
    <s v="Feb"/>
    <s v="Friday"/>
    <s v="Delivered"/>
  </r>
  <r>
    <s v="ORD0172"/>
    <x v="8"/>
    <x v="5"/>
    <x v="3"/>
    <n v="15"/>
    <n v="1"/>
    <x v="16"/>
    <x v="5"/>
    <x v="5"/>
    <x v="0"/>
    <x v="0"/>
    <s v="OK"/>
    <s v="Mar"/>
    <s v="Wednesday"/>
    <s v="Cancelled"/>
  </r>
  <r>
    <s v="ORD0173"/>
    <x v="47"/>
    <x v="9"/>
    <x v="4"/>
    <n v="1200"/>
    <n v="1"/>
    <x v="12"/>
    <x v="3"/>
    <x v="7"/>
    <x v="3"/>
    <x v="2"/>
    <s v="OK"/>
    <s v="Feb"/>
    <s v="Friday"/>
    <s v="Delivered"/>
  </r>
  <r>
    <s v="ORD0174"/>
    <x v="10"/>
    <x v="2"/>
    <x v="1"/>
    <n v="150"/>
    <n v="2"/>
    <x v="14"/>
    <x v="5"/>
    <x v="9"/>
    <x v="0"/>
    <x v="1"/>
    <s v="OK"/>
    <s v="Mar"/>
    <s v="Thursday"/>
    <s v="Pending"/>
  </r>
  <r>
    <s v="ORD0175"/>
    <x v="21"/>
    <x v="6"/>
    <x v="2"/>
    <n v="40"/>
    <n v="5"/>
    <x v="30"/>
    <x v="5"/>
    <x v="0"/>
    <x v="0"/>
    <x v="0"/>
    <s v="OK"/>
    <s v="Mar"/>
    <s v="Monday"/>
    <s v="Cancelled"/>
  </r>
  <r>
    <s v="ORD0176"/>
    <x v="55"/>
    <x v="5"/>
    <x v="3"/>
    <n v="15"/>
    <n v="1"/>
    <x v="16"/>
    <x v="6"/>
    <x v="6"/>
    <x v="1"/>
    <x v="2"/>
    <s v="OK"/>
    <s v="Mar"/>
    <s v="Thursday"/>
    <s v="Delivered"/>
  </r>
  <r>
    <s v="ORD0177"/>
    <x v="0"/>
    <x v="5"/>
    <x v="3"/>
    <n v="15"/>
    <n v="5"/>
    <x v="18"/>
    <x v="5"/>
    <x v="1"/>
    <x v="2"/>
    <x v="1"/>
    <s v="OK"/>
    <s v="Mar"/>
    <s v="Friday"/>
    <s v="Pending"/>
  </r>
  <r>
    <s v="ORD0178"/>
    <x v="48"/>
    <x v="4"/>
    <x v="1"/>
    <n v="500"/>
    <n v="3"/>
    <x v="31"/>
    <x v="1"/>
    <x v="9"/>
    <x v="3"/>
    <x v="2"/>
    <s v="OK"/>
    <s v="Feb"/>
    <s v="Thursday"/>
    <s v="Delivered"/>
  </r>
  <r>
    <s v="ORD0179"/>
    <x v="45"/>
    <x v="6"/>
    <x v="2"/>
    <n v="40"/>
    <n v="1"/>
    <x v="24"/>
    <x v="3"/>
    <x v="7"/>
    <x v="3"/>
    <x v="0"/>
    <s v="OK"/>
    <s v="Mar"/>
    <s v="Tuesday"/>
    <s v="Cancelled"/>
  </r>
  <r>
    <s v="ORD0180"/>
    <x v="12"/>
    <x v="9"/>
    <x v="4"/>
    <n v="1200"/>
    <n v="3"/>
    <x v="17"/>
    <x v="5"/>
    <x v="6"/>
    <x v="4"/>
    <x v="2"/>
    <s v="OK"/>
    <s v="Mar"/>
    <s v="Tuesday"/>
    <s v="Delivered"/>
  </r>
  <r>
    <s v="ORD0181"/>
    <x v="56"/>
    <x v="0"/>
    <x v="0"/>
    <n v="60"/>
    <n v="2"/>
    <x v="2"/>
    <x v="5"/>
    <x v="8"/>
    <x v="0"/>
    <x v="0"/>
    <s v="OK"/>
    <s v="Mar"/>
    <s v="Monday"/>
    <s v="Cancelled"/>
  </r>
  <r>
    <s v="ORD0182"/>
    <x v="27"/>
    <x v="3"/>
    <x v="2"/>
    <n v="20"/>
    <n v="5"/>
    <x v="19"/>
    <x v="0"/>
    <x v="2"/>
    <x v="3"/>
    <x v="2"/>
    <s v="OK"/>
    <s v="Apr"/>
    <s v="Wednesday"/>
    <s v="Delivered"/>
  </r>
  <r>
    <s v="ORD0183"/>
    <x v="45"/>
    <x v="8"/>
    <x v="4"/>
    <n v="600"/>
    <n v="1"/>
    <x v="5"/>
    <x v="0"/>
    <x v="7"/>
    <x v="0"/>
    <x v="1"/>
    <s v="OK"/>
    <s v="Mar"/>
    <s v="Tuesday"/>
    <s v="Pending"/>
  </r>
  <r>
    <s v="ORD0184"/>
    <x v="9"/>
    <x v="5"/>
    <x v="3"/>
    <n v="15"/>
    <n v="5"/>
    <x v="18"/>
    <x v="7"/>
    <x v="5"/>
    <x v="0"/>
    <x v="1"/>
    <s v="OK"/>
    <s v="Feb"/>
    <s v="Monday"/>
    <s v="Pending"/>
  </r>
  <r>
    <s v="ORD0185"/>
    <x v="17"/>
    <x v="3"/>
    <x v="2"/>
    <n v="20"/>
    <n v="1"/>
    <x v="4"/>
    <x v="8"/>
    <x v="3"/>
    <x v="0"/>
    <x v="2"/>
    <s v="OK"/>
    <s v="Mar"/>
    <s v="Saturday"/>
    <s v="Delivered"/>
  </r>
  <r>
    <s v="ORD0186"/>
    <x v="6"/>
    <x v="8"/>
    <x v="4"/>
    <n v="600"/>
    <n v="4"/>
    <x v="21"/>
    <x v="6"/>
    <x v="0"/>
    <x v="3"/>
    <x v="2"/>
    <s v="OK"/>
    <s v="Mar"/>
    <s v="Sunday"/>
    <s v="Delivered"/>
  </r>
  <r>
    <s v="ORD0187"/>
    <x v="10"/>
    <x v="7"/>
    <x v="1"/>
    <n v="800"/>
    <n v="3"/>
    <x v="21"/>
    <x v="2"/>
    <x v="0"/>
    <x v="3"/>
    <x v="1"/>
    <s v="OK"/>
    <s v="Mar"/>
    <s v="Thursday"/>
    <s v="Pending"/>
  </r>
  <r>
    <s v="ORD0188"/>
    <x v="22"/>
    <x v="5"/>
    <x v="3"/>
    <n v="15"/>
    <n v="1"/>
    <x v="16"/>
    <x v="2"/>
    <x v="6"/>
    <x v="1"/>
    <x v="2"/>
    <s v="OK"/>
    <s v="Feb"/>
    <s v="Friday"/>
    <s v="Delivered"/>
  </r>
  <r>
    <s v="ORD0189"/>
    <x v="16"/>
    <x v="7"/>
    <x v="1"/>
    <n v="800"/>
    <n v="3"/>
    <x v="21"/>
    <x v="9"/>
    <x v="4"/>
    <x v="1"/>
    <x v="2"/>
    <s v="OK"/>
    <s v="Feb"/>
    <s v="Monday"/>
    <s v="Delivered"/>
  </r>
  <r>
    <s v="ORD0190"/>
    <x v="20"/>
    <x v="0"/>
    <x v="0"/>
    <n v="60"/>
    <n v="1"/>
    <x v="7"/>
    <x v="4"/>
    <x v="4"/>
    <x v="3"/>
    <x v="2"/>
    <s v="OK"/>
    <s v="Feb"/>
    <s v="Sunday"/>
    <s v="Delivered"/>
  </r>
  <r>
    <s v="ORD0191"/>
    <x v="47"/>
    <x v="6"/>
    <x v="2"/>
    <n v="40"/>
    <n v="4"/>
    <x v="9"/>
    <x v="2"/>
    <x v="7"/>
    <x v="1"/>
    <x v="1"/>
    <s v="OK"/>
    <s v="Feb"/>
    <s v="Friday"/>
    <s v="Pending"/>
  </r>
  <r>
    <s v="ORD0192"/>
    <x v="43"/>
    <x v="1"/>
    <x v="1"/>
    <n v="100"/>
    <n v="3"/>
    <x v="14"/>
    <x v="4"/>
    <x v="3"/>
    <x v="4"/>
    <x v="1"/>
    <s v="OK"/>
    <s v="Mar"/>
    <s v="Monday"/>
    <s v="Pending"/>
  </r>
  <r>
    <s v="ORD0193"/>
    <x v="40"/>
    <x v="5"/>
    <x v="3"/>
    <n v="15"/>
    <n v="5"/>
    <x v="18"/>
    <x v="5"/>
    <x v="9"/>
    <x v="1"/>
    <x v="1"/>
    <s v="OK"/>
    <s v="Mar"/>
    <s v="Sunday"/>
    <s v="Pending"/>
  </r>
  <r>
    <s v="ORD0194"/>
    <x v="13"/>
    <x v="6"/>
    <x v="2"/>
    <n v="40"/>
    <n v="4"/>
    <x v="9"/>
    <x v="2"/>
    <x v="1"/>
    <x v="0"/>
    <x v="0"/>
    <s v="OK"/>
    <s v="Feb"/>
    <s v="Thursday"/>
    <s v="Cancelled"/>
  </r>
  <r>
    <s v="ORD0195"/>
    <x v="4"/>
    <x v="4"/>
    <x v="1"/>
    <n v="500"/>
    <n v="3"/>
    <x v="31"/>
    <x v="3"/>
    <x v="2"/>
    <x v="4"/>
    <x v="0"/>
    <s v="OK"/>
    <s v="Mar"/>
    <s v="Monday"/>
    <s v="Cancelled"/>
  </r>
  <r>
    <s v="ORD0196"/>
    <x v="12"/>
    <x v="1"/>
    <x v="1"/>
    <n v="100"/>
    <n v="5"/>
    <x v="6"/>
    <x v="7"/>
    <x v="7"/>
    <x v="0"/>
    <x v="1"/>
    <s v="OK"/>
    <s v="Mar"/>
    <s v="Tuesday"/>
    <s v="Pending"/>
  </r>
  <r>
    <s v="ORD0197"/>
    <x v="8"/>
    <x v="0"/>
    <x v="0"/>
    <n v="60"/>
    <n v="2"/>
    <x v="2"/>
    <x v="6"/>
    <x v="2"/>
    <x v="4"/>
    <x v="2"/>
    <s v="OK"/>
    <s v="Mar"/>
    <s v="Wednesday"/>
    <s v="Delivered"/>
  </r>
  <r>
    <s v="ORD0198"/>
    <x v="13"/>
    <x v="7"/>
    <x v="1"/>
    <n v="800"/>
    <n v="4"/>
    <x v="32"/>
    <x v="9"/>
    <x v="7"/>
    <x v="1"/>
    <x v="1"/>
    <s v="OK"/>
    <s v="Feb"/>
    <s v="Thursday"/>
    <s v="Pending"/>
  </r>
  <r>
    <s v="ORD0199"/>
    <x v="49"/>
    <x v="4"/>
    <x v="1"/>
    <n v="500"/>
    <n v="3"/>
    <x v="31"/>
    <x v="8"/>
    <x v="3"/>
    <x v="2"/>
    <x v="2"/>
    <s v="OK"/>
    <s v="Feb"/>
    <s v="Saturday"/>
    <s v="Delivered"/>
  </r>
  <r>
    <s v="ORD0200"/>
    <x v="16"/>
    <x v="5"/>
    <x v="3"/>
    <n v="15"/>
    <n v="2"/>
    <x v="8"/>
    <x v="8"/>
    <x v="8"/>
    <x v="0"/>
    <x v="2"/>
    <s v="OK"/>
    <s v="Feb"/>
    <s v="Monday"/>
    <s v="Delivered"/>
  </r>
  <r>
    <s v="ORD0201"/>
    <x v="24"/>
    <x v="5"/>
    <x v="3"/>
    <n v="15"/>
    <n v="4"/>
    <x v="7"/>
    <x v="6"/>
    <x v="1"/>
    <x v="2"/>
    <x v="2"/>
    <s v="OK"/>
    <s v="Feb"/>
    <s v="Monday"/>
    <s v="Delivered"/>
  </r>
  <r>
    <s v="ORD0202"/>
    <x v="57"/>
    <x v="4"/>
    <x v="1"/>
    <n v="500"/>
    <n v="2"/>
    <x v="13"/>
    <x v="7"/>
    <x v="5"/>
    <x v="2"/>
    <x v="0"/>
    <s v="OK"/>
    <s v="Feb"/>
    <s v="Friday"/>
    <s v="Cancelled"/>
  </r>
  <r>
    <s v="ORD0203"/>
    <x v="57"/>
    <x v="9"/>
    <x v="4"/>
    <n v="1200"/>
    <n v="3"/>
    <x v="17"/>
    <x v="2"/>
    <x v="3"/>
    <x v="0"/>
    <x v="2"/>
    <s v="OK"/>
    <s v="Feb"/>
    <s v="Friday"/>
    <s v="Delivered"/>
  </r>
  <r>
    <s v="ORD0204"/>
    <x v="7"/>
    <x v="0"/>
    <x v="0"/>
    <n v="60"/>
    <n v="5"/>
    <x v="14"/>
    <x v="9"/>
    <x v="5"/>
    <x v="4"/>
    <x v="1"/>
    <s v="OK"/>
    <s v="Mar"/>
    <s v="Saturday"/>
    <s v="Pending"/>
  </r>
  <r>
    <s v="ORD0205"/>
    <x v="51"/>
    <x v="1"/>
    <x v="1"/>
    <n v="100"/>
    <n v="2"/>
    <x v="30"/>
    <x v="5"/>
    <x v="4"/>
    <x v="3"/>
    <x v="2"/>
    <s v="OK"/>
    <s v="Feb"/>
    <s v="Thursday"/>
    <s v="Delivered"/>
  </r>
  <r>
    <s v="ORD0206"/>
    <x v="25"/>
    <x v="8"/>
    <x v="4"/>
    <n v="600"/>
    <n v="5"/>
    <x v="34"/>
    <x v="0"/>
    <x v="5"/>
    <x v="1"/>
    <x v="1"/>
    <s v="OK"/>
    <s v="Feb"/>
    <s v="Wednesday"/>
    <s v="Pending"/>
  </r>
  <r>
    <s v="ORD0207"/>
    <x v="50"/>
    <x v="8"/>
    <x v="4"/>
    <n v="600"/>
    <n v="1"/>
    <x v="5"/>
    <x v="2"/>
    <x v="5"/>
    <x v="2"/>
    <x v="2"/>
    <s v="OK"/>
    <s v="Mar"/>
    <s v="Friday"/>
    <s v="Delivered"/>
  </r>
  <r>
    <s v="ORD0208"/>
    <x v="58"/>
    <x v="9"/>
    <x v="4"/>
    <n v="1200"/>
    <n v="3"/>
    <x v="17"/>
    <x v="2"/>
    <x v="5"/>
    <x v="3"/>
    <x v="2"/>
    <s v="OK"/>
    <s v="Feb"/>
    <s v="Sunday"/>
    <s v="Delivered"/>
  </r>
  <r>
    <s v="ORD0209"/>
    <x v="54"/>
    <x v="6"/>
    <x v="2"/>
    <n v="40"/>
    <n v="5"/>
    <x v="30"/>
    <x v="7"/>
    <x v="3"/>
    <x v="3"/>
    <x v="2"/>
    <s v="OK"/>
    <s v="Mar"/>
    <s v="Saturday"/>
    <s v="Delivered"/>
  </r>
  <r>
    <s v="ORD0210"/>
    <x v="53"/>
    <x v="7"/>
    <x v="1"/>
    <n v="800"/>
    <n v="3"/>
    <x v="21"/>
    <x v="9"/>
    <x v="0"/>
    <x v="3"/>
    <x v="2"/>
    <s v="OK"/>
    <s v="Mar"/>
    <s v="Sunday"/>
    <s v="Delivered"/>
  </r>
  <r>
    <s v="ORD0211"/>
    <x v="10"/>
    <x v="4"/>
    <x v="1"/>
    <n v="500"/>
    <n v="1"/>
    <x v="6"/>
    <x v="5"/>
    <x v="5"/>
    <x v="4"/>
    <x v="1"/>
    <s v="OK"/>
    <s v="Mar"/>
    <s v="Thursday"/>
    <s v="Pending"/>
  </r>
  <r>
    <s v="ORD0212"/>
    <x v="46"/>
    <x v="3"/>
    <x v="2"/>
    <n v="20"/>
    <n v="4"/>
    <x v="23"/>
    <x v="0"/>
    <x v="4"/>
    <x v="0"/>
    <x v="2"/>
    <s v="OK"/>
    <s v="Mar"/>
    <s v="Sunday"/>
    <s v="Delivered"/>
  </r>
  <r>
    <s v="ORD0213"/>
    <x v="48"/>
    <x v="7"/>
    <x v="1"/>
    <n v="800"/>
    <n v="1"/>
    <x v="35"/>
    <x v="9"/>
    <x v="8"/>
    <x v="1"/>
    <x v="0"/>
    <s v="OK"/>
    <s v="Feb"/>
    <s v="Thursday"/>
    <s v="Cancelled"/>
  </r>
  <r>
    <s v="ORD0214"/>
    <x v="36"/>
    <x v="2"/>
    <x v="1"/>
    <n v="150"/>
    <n v="5"/>
    <x v="29"/>
    <x v="1"/>
    <x v="4"/>
    <x v="0"/>
    <x v="2"/>
    <s v="OK"/>
    <s v="Feb"/>
    <s v="Tuesday"/>
    <s v="Delivered"/>
  </r>
  <r>
    <s v="ORD0215"/>
    <x v="18"/>
    <x v="0"/>
    <x v="0"/>
    <n v="60"/>
    <n v="1"/>
    <x v="7"/>
    <x v="0"/>
    <x v="4"/>
    <x v="3"/>
    <x v="2"/>
    <s v="OK"/>
    <s v="Mar"/>
    <s v="Friday"/>
    <s v="Delivered"/>
  </r>
  <r>
    <s v="ORD0216"/>
    <x v="30"/>
    <x v="6"/>
    <x v="2"/>
    <n v="40"/>
    <n v="2"/>
    <x v="23"/>
    <x v="8"/>
    <x v="9"/>
    <x v="2"/>
    <x v="2"/>
    <s v="OK"/>
    <s v="Mar"/>
    <s v="Wednesday"/>
    <s v="Delivered"/>
  </r>
  <r>
    <s v="ORD0217"/>
    <x v="38"/>
    <x v="0"/>
    <x v="0"/>
    <n v="60"/>
    <n v="2"/>
    <x v="2"/>
    <x v="0"/>
    <x v="6"/>
    <x v="4"/>
    <x v="1"/>
    <s v="OK"/>
    <s v="Mar"/>
    <s v="Wednesday"/>
    <s v="Pending"/>
  </r>
  <r>
    <s v="ORD0218"/>
    <x v="2"/>
    <x v="1"/>
    <x v="1"/>
    <n v="100"/>
    <n v="4"/>
    <x v="1"/>
    <x v="7"/>
    <x v="0"/>
    <x v="4"/>
    <x v="0"/>
    <s v="OK"/>
    <s v="Feb"/>
    <s v="Saturday"/>
    <s v="Cancelled"/>
  </r>
  <r>
    <s v="ORD0219"/>
    <x v="9"/>
    <x v="1"/>
    <x v="1"/>
    <n v="100"/>
    <n v="3"/>
    <x v="14"/>
    <x v="5"/>
    <x v="4"/>
    <x v="3"/>
    <x v="0"/>
    <s v="OK"/>
    <s v="Feb"/>
    <s v="Monday"/>
    <s v="Cancelled"/>
  </r>
  <r>
    <s v="ORD0220"/>
    <x v="16"/>
    <x v="2"/>
    <x v="1"/>
    <n v="150"/>
    <n v="3"/>
    <x v="3"/>
    <x v="6"/>
    <x v="2"/>
    <x v="0"/>
    <x v="2"/>
    <s v="OK"/>
    <s v="Feb"/>
    <s v="Monday"/>
    <s v="Delivered"/>
  </r>
  <r>
    <s v="ORD0221"/>
    <x v="47"/>
    <x v="8"/>
    <x v="4"/>
    <n v="600"/>
    <n v="2"/>
    <x v="12"/>
    <x v="1"/>
    <x v="9"/>
    <x v="4"/>
    <x v="0"/>
    <s v="OK"/>
    <s v="Feb"/>
    <s v="Friday"/>
    <s v="Cancelled"/>
  </r>
  <r>
    <s v="ORD0222"/>
    <x v="29"/>
    <x v="8"/>
    <x v="4"/>
    <n v="600"/>
    <n v="2"/>
    <x v="12"/>
    <x v="8"/>
    <x v="7"/>
    <x v="3"/>
    <x v="0"/>
    <s v="OK"/>
    <s v="Feb"/>
    <s v="Sunday"/>
    <s v="Cancelled"/>
  </r>
  <r>
    <s v="ORD0223"/>
    <x v="21"/>
    <x v="6"/>
    <x v="2"/>
    <n v="40"/>
    <n v="2"/>
    <x v="23"/>
    <x v="5"/>
    <x v="2"/>
    <x v="1"/>
    <x v="0"/>
    <s v="OK"/>
    <s v="Mar"/>
    <s v="Monday"/>
    <s v="Cancelled"/>
  </r>
  <r>
    <s v="ORD0224"/>
    <x v="5"/>
    <x v="9"/>
    <x v="4"/>
    <n v="1200"/>
    <n v="1"/>
    <x v="12"/>
    <x v="9"/>
    <x v="5"/>
    <x v="3"/>
    <x v="2"/>
    <s v="OK"/>
    <s v="Mar"/>
    <s v="Tuesday"/>
    <s v="Delivered"/>
  </r>
  <r>
    <s v="ORD0225"/>
    <x v="39"/>
    <x v="6"/>
    <x v="2"/>
    <n v="40"/>
    <n v="1"/>
    <x v="24"/>
    <x v="4"/>
    <x v="0"/>
    <x v="4"/>
    <x v="0"/>
    <s v="OK"/>
    <s v="Mar"/>
    <s v="Tuesday"/>
    <s v="Cancelled"/>
  </r>
  <r>
    <s v="ORD0226"/>
    <x v="59"/>
    <x v="0"/>
    <x v="0"/>
    <n v="60"/>
    <n v="4"/>
    <x v="25"/>
    <x v="8"/>
    <x v="9"/>
    <x v="1"/>
    <x v="2"/>
    <s v="OK"/>
    <s v="Mar"/>
    <s v="Wednesday"/>
    <s v="Delivered"/>
  </r>
  <r>
    <s v="ORD0227"/>
    <x v="27"/>
    <x v="1"/>
    <x v="1"/>
    <n v="100"/>
    <n v="5"/>
    <x v="6"/>
    <x v="0"/>
    <x v="5"/>
    <x v="1"/>
    <x v="0"/>
    <s v="OK"/>
    <s v="Apr"/>
    <s v="Wednesday"/>
    <s v="Cancelled"/>
  </r>
  <r>
    <s v="ORD0228"/>
    <x v="25"/>
    <x v="0"/>
    <x v="0"/>
    <n v="60"/>
    <n v="1"/>
    <x v="7"/>
    <x v="5"/>
    <x v="1"/>
    <x v="2"/>
    <x v="1"/>
    <s v="OK"/>
    <s v="Feb"/>
    <s v="Wednesday"/>
    <s v="Pending"/>
  </r>
  <r>
    <s v="ORD0229"/>
    <x v="50"/>
    <x v="0"/>
    <x v="0"/>
    <n v="60"/>
    <n v="3"/>
    <x v="0"/>
    <x v="0"/>
    <x v="1"/>
    <x v="2"/>
    <x v="1"/>
    <s v="OK"/>
    <s v="Mar"/>
    <s v="Friday"/>
    <s v="Pending"/>
  </r>
  <r>
    <s v="ORD0230"/>
    <x v="43"/>
    <x v="1"/>
    <x v="1"/>
    <n v="100"/>
    <n v="4"/>
    <x v="1"/>
    <x v="9"/>
    <x v="1"/>
    <x v="1"/>
    <x v="1"/>
    <s v="OK"/>
    <s v="Mar"/>
    <s v="Monday"/>
    <s v="Pending"/>
  </r>
  <r>
    <s v="ORD0231"/>
    <x v="29"/>
    <x v="7"/>
    <x v="1"/>
    <n v="800"/>
    <n v="5"/>
    <x v="26"/>
    <x v="9"/>
    <x v="6"/>
    <x v="2"/>
    <x v="0"/>
    <s v="OK"/>
    <s v="Feb"/>
    <s v="Sunday"/>
    <s v="Cancelled"/>
  </r>
  <r>
    <s v="ORD0232"/>
    <x v="0"/>
    <x v="9"/>
    <x v="4"/>
    <n v="1200"/>
    <n v="3"/>
    <x v="17"/>
    <x v="0"/>
    <x v="8"/>
    <x v="2"/>
    <x v="2"/>
    <s v="OK"/>
    <s v="Mar"/>
    <s v="Friday"/>
    <s v="Delivered"/>
  </r>
  <r>
    <s v="ORD0233"/>
    <x v="13"/>
    <x v="0"/>
    <x v="0"/>
    <n v="60"/>
    <n v="1"/>
    <x v="7"/>
    <x v="5"/>
    <x v="6"/>
    <x v="3"/>
    <x v="0"/>
    <s v="OK"/>
    <s v="Feb"/>
    <s v="Thursday"/>
    <s v="Cancelled"/>
  </r>
  <r>
    <s v="ORD0234"/>
    <x v="7"/>
    <x v="5"/>
    <x v="3"/>
    <n v="15"/>
    <n v="1"/>
    <x v="16"/>
    <x v="9"/>
    <x v="5"/>
    <x v="1"/>
    <x v="0"/>
    <s v="OK"/>
    <s v="Mar"/>
    <s v="Saturday"/>
    <s v="Cancelled"/>
  </r>
  <r>
    <s v="ORD0235"/>
    <x v="53"/>
    <x v="9"/>
    <x v="4"/>
    <n v="1200"/>
    <n v="1"/>
    <x v="12"/>
    <x v="7"/>
    <x v="3"/>
    <x v="3"/>
    <x v="2"/>
    <s v="OK"/>
    <s v="Mar"/>
    <s v="Sunday"/>
    <s v="Delivered"/>
  </r>
  <r>
    <s v="ORD0236"/>
    <x v="59"/>
    <x v="4"/>
    <x v="1"/>
    <n v="500"/>
    <n v="5"/>
    <x v="27"/>
    <x v="2"/>
    <x v="6"/>
    <x v="3"/>
    <x v="2"/>
    <s v="OK"/>
    <s v="Mar"/>
    <s v="Wednesday"/>
    <s v="Delivered"/>
  </r>
  <r>
    <s v="ORD0237"/>
    <x v="35"/>
    <x v="1"/>
    <x v="1"/>
    <n v="100"/>
    <n v="3"/>
    <x v="14"/>
    <x v="6"/>
    <x v="4"/>
    <x v="0"/>
    <x v="0"/>
    <s v="OK"/>
    <s v="Feb"/>
    <s v="Tuesday"/>
    <s v="Cancelled"/>
  </r>
  <r>
    <s v="ORD0238"/>
    <x v="42"/>
    <x v="1"/>
    <x v="1"/>
    <n v="100"/>
    <n v="1"/>
    <x v="19"/>
    <x v="3"/>
    <x v="2"/>
    <x v="3"/>
    <x v="2"/>
    <s v="OK"/>
    <s v="Mar"/>
    <s v="Sunday"/>
    <s v="Delivered"/>
  </r>
  <r>
    <s v="ORD0239"/>
    <x v="17"/>
    <x v="2"/>
    <x v="1"/>
    <n v="150"/>
    <n v="5"/>
    <x v="29"/>
    <x v="7"/>
    <x v="4"/>
    <x v="1"/>
    <x v="2"/>
    <s v="OK"/>
    <s v="Mar"/>
    <s v="Saturday"/>
    <s v="Delivered"/>
  </r>
  <r>
    <s v="ORD0240"/>
    <x v="28"/>
    <x v="2"/>
    <x v="1"/>
    <n v="150"/>
    <n v="1"/>
    <x v="22"/>
    <x v="2"/>
    <x v="2"/>
    <x v="4"/>
    <x v="1"/>
    <s v="OK"/>
    <s v="Feb"/>
    <s v="Sunday"/>
    <s v="Pending"/>
  </r>
  <r>
    <s v="ORD0241"/>
    <x v="40"/>
    <x v="4"/>
    <x v="1"/>
    <n v="500"/>
    <n v="4"/>
    <x v="20"/>
    <x v="3"/>
    <x v="0"/>
    <x v="2"/>
    <x v="1"/>
    <s v="OK"/>
    <s v="Mar"/>
    <s v="Sunday"/>
    <s v="Pending"/>
  </r>
  <r>
    <s v="ORD0242"/>
    <x v="7"/>
    <x v="4"/>
    <x v="1"/>
    <n v="500"/>
    <n v="4"/>
    <x v="20"/>
    <x v="8"/>
    <x v="6"/>
    <x v="4"/>
    <x v="1"/>
    <s v="OK"/>
    <s v="Mar"/>
    <s v="Saturday"/>
    <s v="Pending"/>
  </r>
  <r>
    <s v="ORD0243"/>
    <x v="59"/>
    <x v="0"/>
    <x v="0"/>
    <n v="60"/>
    <n v="2"/>
    <x v="2"/>
    <x v="8"/>
    <x v="4"/>
    <x v="1"/>
    <x v="2"/>
    <s v="OK"/>
    <s v="Mar"/>
    <s v="Wednesday"/>
    <s v="Delivered"/>
  </r>
  <r>
    <s v="ORD0244"/>
    <x v="48"/>
    <x v="4"/>
    <x v="1"/>
    <n v="500"/>
    <n v="4"/>
    <x v="20"/>
    <x v="0"/>
    <x v="4"/>
    <x v="2"/>
    <x v="2"/>
    <s v="OK"/>
    <s v="Feb"/>
    <s v="Thursday"/>
    <s v="Delivered"/>
  </r>
  <r>
    <s v="ORD0245"/>
    <x v="26"/>
    <x v="7"/>
    <x v="1"/>
    <n v="800"/>
    <n v="1"/>
    <x v="35"/>
    <x v="6"/>
    <x v="8"/>
    <x v="2"/>
    <x v="0"/>
    <s v="OK"/>
    <s v="Feb"/>
    <s v="Tuesday"/>
    <s v="Cancelled"/>
  </r>
  <r>
    <s v="ORD0246"/>
    <x v="31"/>
    <x v="3"/>
    <x v="2"/>
    <n v="20"/>
    <n v="2"/>
    <x v="24"/>
    <x v="7"/>
    <x v="5"/>
    <x v="0"/>
    <x v="0"/>
    <s v="OK"/>
    <s v="Mar"/>
    <s v="Monday"/>
    <s v="Cancelled"/>
  </r>
  <r>
    <s v="ORD0247"/>
    <x v="40"/>
    <x v="6"/>
    <x v="2"/>
    <n v="40"/>
    <n v="1"/>
    <x v="24"/>
    <x v="4"/>
    <x v="3"/>
    <x v="0"/>
    <x v="0"/>
    <s v="OK"/>
    <s v="Mar"/>
    <s v="Sunday"/>
    <s v="Cancelled"/>
  </r>
  <r>
    <s v="ORD0248"/>
    <x v="59"/>
    <x v="3"/>
    <x v="2"/>
    <n v="20"/>
    <n v="2"/>
    <x v="24"/>
    <x v="8"/>
    <x v="2"/>
    <x v="0"/>
    <x v="0"/>
    <s v="OK"/>
    <s v="Mar"/>
    <s v="Wednesday"/>
    <s v="Cancelled"/>
  </r>
  <r>
    <s v="ORD0249"/>
    <x v="7"/>
    <x v="2"/>
    <x v="1"/>
    <n v="150"/>
    <n v="3"/>
    <x v="3"/>
    <x v="1"/>
    <x v="0"/>
    <x v="0"/>
    <x v="0"/>
    <s v="OK"/>
    <s v="Mar"/>
    <s v="Saturday"/>
    <s v="Cancelled"/>
  </r>
  <r>
    <s v="ORD0250"/>
    <x v="3"/>
    <x v="4"/>
    <x v="1"/>
    <n v="500"/>
    <n v="4"/>
    <x v="20"/>
    <x v="1"/>
    <x v="7"/>
    <x v="1"/>
    <x v="2"/>
    <s v="OK"/>
    <s v="Feb"/>
    <s v="Wednesday"/>
    <s v="Delivered"/>
  </r>
</pivotCacheRecords>
</file>

<file path=xl/pivotTables/_rels/pivotTable1.xml.rels><?xml version="1.0" encoding="UTF-8" standalone="yes"?>
<Relationships xmlns="http://schemas.openxmlformats.org/package/2006/relationships"><Relationship Id="rId1" Type="http://purl.oclc.org/ooxml/officeDocument/relationships/pivotCacheDefinition" Target="../pivotCache/pivotCacheDefinition1.xml"/></Relationships>
</file>

<file path=xl/pivotTables/_rels/pivotTable2.xml.rels><?xml version="1.0" encoding="UTF-8" standalone="yes"?>
<Relationships xmlns="http://schemas.openxmlformats.org/package/2006/relationships"><Relationship Id="rId1" Type="http://purl.oclc.org/ooxml/officeDocument/relationships/pivotCacheDefinition" Target="../pivotCache/pivotCacheDefinition1.xml"/></Relationships>
</file>

<file path=xl/pivotTables/_rels/pivotTable3.xml.rels><?xml version="1.0" encoding="UTF-8" standalone="yes"?>
<Relationships xmlns="http://schemas.openxmlformats.org/package/2006/relationships"><Relationship Id="rId1" Type="http://purl.oclc.org/ooxml/officeDocument/relationships/pivotCacheDefinition" Target="../pivotCache/pivotCacheDefinition1.xml"/></Relationships>
</file>

<file path=xl/pivotTables/_rels/pivotTable4.xml.rels><?xml version="1.0" encoding="UTF-8" standalone="yes"?>
<Relationships xmlns="http://schemas.openxmlformats.org/package/2006/relationships"><Relationship Id="rId1" Type="http://purl.oclc.org/ooxml/officeDocument/relationships/pivotCacheDefinition" Target="../pivotCache/pivotCacheDefinition1.xml"/></Relationships>
</file>

<file path=xl/pivotTables/_rels/pivotTable5.xml.rels><?xml version="1.0" encoding="UTF-8" standalone="yes"?>
<Relationships xmlns="http://schemas.openxmlformats.org/package/2006/relationships"><Relationship Id="rId1" Type="http://purl.oclc.org/ooxml/officeDocument/relationships/pivotCacheDefinition" Target="../pivotCache/pivotCacheDefinition1.xml"/></Relationships>
</file>

<file path=xl/pivotTables/_rels/pivotTable6.xml.rels><?xml version="1.0" encoding="UTF-8" standalone="yes"?>
<Relationships xmlns="http://schemas.openxmlformats.org/package/2006/relationships"><Relationship Id="rId1" Type="http://purl.oclc.org/ooxml/officeDocument/relationships/pivotCacheDefinition" Target="../pivotCache/pivotCacheDefinition1.xml"/></Relationships>
</file>

<file path=xl/pivotTables/_rels/pivotTable7.xml.rels><?xml version="1.0" encoding="UTF-8" standalone="yes"?>
<Relationships xmlns="http://schemas.openxmlformats.org/package/2006/relationships"><Relationship Id="rId1" Type="http://purl.oclc.org/ooxml/officeDocument/relationships/pivotCacheDefinition" Target="../pivotCache/pivotCacheDefinition1.xml"/></Relationships>
</file>

<file path=xl/pivotTables/pivotTable1.xml><?xml version="1.0" encoding="utf-8"?>
<pivotTableDefinition xmlns="http://purl.oclc.org/ooxml/spreadsheetml/main" xmlns:mc="http://schemas.openxmlformats.org/markup-compatibility/2006" xmlns:xr="http://schemas.microsoft.com/office/spreadsheetml/2014/revision" mc:Ignorable="xr" xr:uid="{0F2A89A0-06C4-45A4-964B-014EB22145C0}" name="Total sales by Category"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9">
  <location ref="A3:B9" firstHeaderRow="1" firstDataRow="1" firstDataCol="1"/>
  <pivotFields count="15">
    <pivotField showAll="0"/>
    <pivotField numFmtId="14" showAll="0">
      <items count="15">
        <item x="0"/>
        <item x="1"/>
        <item x="2"/>
        <item x="3"/>
        <item x="4"/>
        <item x="5"/>
        <item x="6"/>
        <item x="7"/>
        <item x="8"/>
        <item x="9"/>
        <item x="10"/>
        <item x="11"/>
        <item x="12"/>
        <item x="13"/>
        <item t="default"/>
      </items>
    </pivotField>
    <pivotField showAll="0"/>
    <pivotField axis="axisRow" showAll="0" sortType="descending">
      <items count="6">
        <item x="3"/>
        <item x="2"/>
        <item x="1"/>
        <item x="0"/>
        <item x="4"/>
        <item t="default"/>
      </items>
      <autoSortScope>
        <pivotArea dataOnly="0" outline="0" fieldPosition="0">
          <references count="1">
            <reference field="4294967294" count="1" selected="0">
              <x v="0"/>
            </reference>
          </references>
        </pivotArea>
      </autoSortScope>
    </pivotField>
    <pivotField showAll="0"/>
    <pivotField showAll="0"/>
    <pivotField dataField="1" showAll="0">
      <items count="37">
        <item x="16"/>
        <item x="4"/>
        <item x="8"/>
        <item x="24"/>
        <item x="28"/>
        <item x="7"/>
        <item x="18"/>
        <item x="23"/>
        <item x="19"/>
        <item x="2"/>
        <item x="22"/>
        <item x="9"/>
        <item x="0"/>
        <item x="30"/>
        <item x="25"/>
        <item x="14"/>
        <item x="1"/>
        <item x="3"/>
        <item x="6"/>
        <item x="5"/>
        <item x="29"/>
        <item x="35"/>
        <item x="13"/>
        <item x="12"/>
        <item x="31"/>
        <item x="10"/>
        <item x="11"/>
        <item x="20"/>
        <item x="21"/>
        <item x="27"/>
        <item x="34"/>
        <item x="32"/>
        <item x="17"/>
        <item x="26"/>
        <item x="15"/>
        <item x="33"/>
        <item t="default"/>
      </items>
    </pivotField>
    <pivotField showAll="0"/>
    <pivotField showAll="0">
      <items count="11">
        <item x="6"/>
        <item x="9"/>
        <item x="3"/>
        <item x="2"/>
        <item x="4"/>
        <item x="8"/>
        <item x="5"/>
        <item x="0"/>
        <item x="1"/>
        <item x="7"/>
        <item t="default"/>
      </items>
    </pivotField>
    <pivotField showAll="0">
      <items count="6">
        <item x="1"/>
        <item x="2"/>
        <item x="0"/>
        <item x="4"/>
        <item x="3"/>
        <item t="default"/>
      </items>
    </pivotField>
    <pivotField showAll="0">
      <items count="4">
        <item x="0"/>
        <item x="2"/>
        <item x="1"/>
        <item t="default"/>
      </items>
    </pivotField>
    <pivotField showAll="0"/>
    <pivotField showAll="0"/>
    <pivotField showAll="0"/>
    <pivotField showAll="0"/>
  </pivotFields>
  <rowFields count="1">
    <field x="3"/>
  </rowFields>
  <rowItems count="6">
    <i>
      <x v="2"/>
    </i>
    <i>
      <x v="4"/>
    </i>
    <i>
      <x v="3"/>
    </i>
    <i>
      <x v="1"/>
    </i>
    <i>
      <x/>
    </i>
    <i t="grand">
      <x/>
    </i>
  </rowItems>
  <colItems count="1">
    <i/>
  </colItems>
  <dataFields count="1">
    <dataField name="Sum of Total Sales" fld="6" baseField="3" baseItem="2"/>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2">
          <reference field="4294967294" count="1" selected="0">
            <x v="0"/>
          </reference>
          <reference field="3" count="1" selected="0">
            <x v="4"/>
          </reference>
        </references>
      </pivotArea>
    </chartFormat>
    <chartFormat chart="0" format="2" series="1">
      <pivotArea type="data" outline="0" fieldPosition="0">
        <references count="2">
          <reference field="4294967294" count="1" selected="0">
            <x v="0"/>
          </reference>
          <reference field="3" count="1" selected="0">
            <x v="3"/>
          </reference>
        </references>
      </pivotArea>
    </chartFormat>
    <chartFormat chart="0" format="3" series="1">
      <pivotArea type="data" outline="0" fieldPosition="0">
        <references count="2">
          <reference field="4294967294" count="1" selected="0">
            <x v="0"/>
          </reference>
          <reference field="3" count="1" selected="0">
            <x v="1"/>
          </reference>
        </references>
      </pivotArea>
    </chartFormat>
    <chartFormat chart="0" format="4" series="1">
      <pivotArea type="data" outline="0" fieldPosition="0">
        <references count="2">
          <reference field="4294967294" count="1" selected="0">
            <x v="0"/>
          </reference>
          <reference field="3" count="1" selected="0">
            <x v="0"/>
          </reference>
        </references>
      </pivotArea>
    </chartFormat>
    <chartFormat chart="8"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purl.oclc.org/ooxml/spreadsheetml/main" xmlns:mc="http://schemas.openxmlformats.org/markup-compatibility/2006" xmlns:xr="http://schemas.microsoft.com/office/spreadsheetml/2014/revision" mc:Ignorable="xr" xr:uid="{7B31279B-05BE-4148-8E21-C302DC723510}" name="PivotTable3"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A3:B14" firstHeaderRow="1" firstDataRow="1" firstDataCol="1"/>
  <pivotFields count="15">
    <pivotField showAll="0"/>
    <pivotField numFmtId="14" showAll="0">
      <items count="15">
        <item x="0"/>
        <item x="1"/>
        <item x="2"/>
        <item x="3"/>
        <item x="4"/>
        <item x="5"/>
        <item x="6"/>
        <item x="7"/>
        <item x="8"/>
        <item x="9"/>
        <item x="10"/>
        <item x="11"/>
        <item x="12"/>
        <item x="13"/>
        <item t="default"/>
      </items>
    </pivotField>
    <pivotField axis="axisRow" showAll="0" sortType="descending">
      <items count="11">
        <item x="5"/>
        <item x="1"/>
        <item x="6"/>
        <item x="7"/>
        <item x="9"/>
        <item x="0"/>
        <item x="4"/>
        <item x="2"/>
        <item x="3"/>
        <item x="8"/>
        <item t="default"/>
      </items>
      <autoSortScope>
        <pivotArea dataOnly="0" outline="0" fieldPosition="0">
          <references count="1">
            <reference field="4294967294" count="1" selected="0">
              <x v="0"/>
            </reference>
          </references>
        </pivotArea>
      </autoSortScope>
    </pivotField>
    <pivotField showAll="0">
      <items count="6">
        <item x="3"/>
        <item x="2"/>
        <item x="1"/>
        <item x="0"/>
        <item x="4"/>
        <item t="default"/>
      </items>
    </pivotField>
    <pivotField showAll="0"/>
    <pivotField showAll="0"/>
    <pivotField dataField="1" showAll="0">
      <items count="37">
        <item x="16"/>
        <item x="4"/>
        <item x="8"/>
        <item x="24"/>
        <item x="28"/>
        <item x="7"/>
        <item x="18"/>
        <item x="23"/>
        <item x="19"/>
        <item x="2"/>
        <item x="22"/>
        <item x="9"/>
        <item x="0"/>
        <item x="30"/>
        <item x="25"/>
        <item x="14"/>
        <item x="1"/>
        <item x="3"/>
        <item x="6"/>
        <item x="5"/>
        <item x="29"/>
        <item x="35"/>
        <item x="13"/>
        <item x="12"/>
        <item x="31"/>
        <item x="10"/>
        <item x="11"/>
        <item x="20"/>
        <item x="21"/>
        <item x="27"/>
        <item x="34"/>
        <item x="32"/>
        <item x="17"/>
        <item x="26"/>
        <item x="15"/>
        <item x="33"/>
        <item t="default"/>
      </items>
    </pivotField>
    <pivotField showAll="0"/>
    <pivotField showAll="0">
      <items count="11">
        <item x="6"/>
        <item x="9"/>
        <item x="3"/>
        <item x="2"/>
        <item x="4"/>
        <item x="8"/>
        <item x="5"/>
        <item x="0"/>
        <item x="1"/>
        <item x="7"/>
        <item t="default"/>
      </items>
    </pivotField>
    <pivotField showAll="0">
      <items count="6">
        <item x="1"/>
        <item x="2"/>
        <item x="0"/>
        <item x="4"/>
        <item x="3"/>
        <item t="default"/>
      </items>
    </pivotField>
    <pivotField showAll="0">
      <items count="4">
        <item x="0"/>
        <item x="2"/>
        <item x="1"/>
        <item t="default"/>
      </items>
    </pivotField>
    <pivotField showAll="0"/>
    <pivotField showAll="0"/>
    <pivotField showAll="0"/>
    <pivotField showAll="0"/>
  </pivotFields>
  <rowFields count="1">
    <field x="2"/>
  </rowFields>
  <rowItems count="11">
    <i>
      <x v="4"/>
    </i>
    <i>
      <x v="3"/>
    </i>
    <i>
      <x v="6"/>
    </i>
    <i>
      <x v="9"/>
    </i>
    <i>
      <x v="7"/>
    </i>
    <i>
      <x v="1"/>
    </i>
    <i>
      <x v="5"/>
    </i>
    <i>
      <x v="2"/>
    </i>
    <i>
      <x v="8"/>
    </i>
    <i>
      <x/>
    </i>
    <i t="grand">
      <x/>
    </i>
  </rowItems>
  <colItems count="1">
    <i/>
  </colItems>
  <dataFields count="1">
    <dataField name="Sum of Total Sales" fld="6"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purl.oclc.org/ooxml/spreadsheetml/main" xmlns:mc="http://schemas.openxmlformats.org/markup-compatibility/2006" xmlns:xr="http://schemas.microsoft.com/office/spreadsheetml/2014/revision" mc:Ignorable="xr" xr:uid="{B8BC7764-92FB-4CB6-9B3D-FF0A089207EA}" name="PivotTable4"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A3:B14" firstHeaderRow="1" firstDataRow="1" firstDataCol="1"/>
  <pivotFields count="15">
    <pivotField showAll="0"/>
    <pivotField numFmtId="14" showAll="0">
      <items count="15">
        <item x="0"/>
        <item x="1"/>
        <item x="2"/>
        <item x="3"/>
        <item x="4"/>
        <item x="5"/>
        <item x="6"/>
        <item x="7"/>
        <item x="8"/>
        <item x="9"/>
        <item x="10"/>
        <item x="11"/>
        <item x="12"/>
        <item x="13"/>
        <item t="default"/>
      </items>
    </pivotField>
    <pivotField showAll="0"/>
    <pivotField showAll="0">
      <items count="6">
        <item x="3"/>
        <item x="2"/>
        <item x="1"/>
        <item x="0"/>
        <item x="4"/>
        <item t="default"/>
      </items>
    </pivotField>
    <pivotField showAll="0"/>
    <pivotField showAll="0"/>
    <pivotField dataField="1" showAll="0"/>
    <pivotField showAll="0"/>
    <pivotField axis="axisRow" showAll="0" sortType="descending">
      <items count="11">
        <item x="6"/>
        <item x="9"/>
        <item x="3"/>
        <item x="2"/>
        <item x="4"/>
        <item x="8"/>
        <item x="5"/>
        <item x="0"/>
        <item x="1"/>
        <item x="7"/>
        <item t="default"/>
      </items>
      <autoSortScope>
        <pivotArea dataOnly="0" outline="0" fieldPosition="0">
          <references count="1">
            <reference field="4294967294" count="1" selected="0">
              <x v="0"/>
            </reference>
          </references>
        </pivotArea>
      </autoSortScope>
    </pivotField>
    <pivotField showAll="0">
      <items count="6">
        <item x="1"/>
        <item x="2"/>
        <item x="0"/>
        <item x="4"/>
        <item x="3"/>
        <item t="default"/>
      </items>
    </pivotField>
    <pivotField showAll="0">
      <items count="4">
        <item x="0"/>
        <item x="2"/>
        <item x="1"/>
        <item t="default"/>
      </items>
    </pivotField>
    <pivotField showAll="0"/>
    <pivotField showAll="0"/>
    <pivotField showAll="0"/>
    <pivotField showAll="0"/>
  </pivotFields>
  <rowFields count="1">
    <field x="8"/>
  </rowFields>
  <rowItems count="11">
    <i>
      <x v="6"/>
    </i>
    <i>
      <x v="3"/>
    </i>
    <i>
      <x v="4"/>
    </i>
    <i>
      <x v="2"/>
    </i>
    <i>
      <x v="9"/>
    </i>
    <i>
      <x/>
    </i>
    <i>
      <x v="1"/>
    </i>
    <i>
      <x v="7"/>
    </i>
    <i>
      <x v="5"/>
    </i>
    <i>
      <x v="8"/>
    </i>
    <i t="grand">
      <x/>
    </i>
  </rowItems>
  <colItems count="1">
    <i/>
  </colItems>
  <dataFields count="1">
    <dataField name="Sum of Total Sales" fld="6"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purl.oclc.org/ooxml/spreadsheetml/main" xmlns:mc="http://schemas.openxmlformats.org/markup-compatibility/2006" xmlns:xr="http://schemas.microsoft.com/office/spreadsheetml/2014/revision" mc:Ignorable="xr" xr:uid="{4ED83326-813F-449B-B04A-8A9746463220}" name="PivotTable5"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A3:B9" firstHeaderRow="1" firstDataRow="1" firstDataCol="1"/>
  <pivotFields count="15">
    <pivotField showAll="0"/>
    <pivotField numFmtId="14" showAll="0">
      <items count="15">
        <item x="0"/>
        <item x="1"/>
        <item x="2"/>
        <item x="3"/>
        <item x="4"/>
        <item x="5"/>
        <item x="6"/>
        <item x="7"/>
        <item x="8"/>
        <item x="9"/>
        <item x="10"/>
        <item x="11"/>
        <item x="12"/>
        <item x="13"/>
        <item t="default"/>
      </items>
    </pivotField>
    <pivotField showAll="0"/>
    <pivotField showAll="0">
      <items count="6">
        <item x="3"/>
        <item x="2"/>
        <item x="1"/>
        <item x="0"/>
        <item x="4"/>
        <item t="default"/>
      </items>
    </pivotField>
    <pivotField showAll="0"/>
    <pivotField showAll="0"/>
    <pivotField dataField="1" showAll="0"/>
    <pivotField showAll="0"/>
    <pivotField showAll="0">
      <items count="11">
        <item x="6"/>
        <item x="9"/>
        <item x="3"/>
        <item x="2"/>
        <item x="4"/>
        <item x="8"/>
        <item x="5"/>
        <item x="0"/>
        <item x="1"/>
        <item x="7"/>
        <item t="default"/>
      </items>
    </pivotField>
    <pivotField axis="axisRow" showAll="0" sortType="descending">
      <items count="6">
        <item x="1"/>
        <item x="2"/>
        <item x="0"/>
        <item x="4"/>
        <item x="3"/>
        <item t="default"/>
      </items>
      <autoSortScope>
        <pivotArea dataOnly="0" outline="0" fieldPosition="0">
          <references count="1">
            <reference field="4294967294" count="1" selected="0">
              <x v="0"/>
            </reference>
          </references>
        </pivotArea>
      </autoSortScope>
    </pivotField>
    <pivotField showAll="0">
      <items count="4">
        <item x="0"/>
        <item x="2"/>
        <item x="1"/>
        <item t="default"/>
      </items>
    </pivotField>
    <pivotField showAll="0"/>
    <pivotField showAll="0"/>
    <pivotField showAll="0"/>
    <pivotField showAll="0"/>
  </pivotFields>
  <rowFields count="1">
    <field x="9"/>
  </rowFields>
  <rowItems count="6">
    <i>
      <x v="4"/>
    </i>
    <i>
      <x v="1"/>
    </i>
    <i>
      <x v="3"/>
    </i>
    <i>
      <x/>
    </i>
    <i>
      <x v="2"/>
    </i>
    <i t="grand">
      <x/>
    </i>
  </rowItems>
  <colItems count="1">
    <i/>
  </colItems>
  <dataFields count="1">
    <dataField name="Sum of Total Sales" fld="6" baseField="0" baseItem="0"/>
  </dataFields>
  <chartFormats count="12">
    <chartFormat chart="0" format="0"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0"/>
          </reference>
        </references>
      </pivotArea>
    </chartFormat>
    <chartFormat chart="3" format="8">
      <pivotArea type="data" outline="0" fieldPosition="0">
        <references count="2">
          <reference field="4294967294" count="1" selected="0">
            <x v="0"/>
          </reference>
          <reference field="9" count="1" selected="0">
            <x v="4"/>
          </reference>
        </references>
      </pivotArea>
    </chartFormat>
    <chartFormat chart="3" format="9">
      <pivotArea type="data" outline="0" fieldPosition="0">
        <references count="2">
          <reference field="4294967294" count="1" selected="0">
            <x v="0"/>
          </reference>
          <reference field="9" count="1" selected="0">
            <x v="1"/>
          </reference>
        </references>
      </pivotArea>
    </chartFormat>
    <chartFormat chart="3" format="10">
      <pivotArea type="data" outline="0" fieldPosition="0">
        <references count="2">
          <reference field="4294967294" count="1" selected="0">
            <x v="0"/>
          </reference>
          <reference field="9" count="1" selected="0">
            <x v="3"/>
          </reference>
        </references>
      </pivotArea>
    </chartFormat>
    <chartFormat chart="3" format="11">
      <pivotArea type="data" outline="0" fieldPosition="0">
        <references count="2">
          <reference field="4294967294" count="1" selected="0">
            <x v="0"/>
          </reference>
          <reference field="9" count="1" selected="0">
            <x v="0"/>
          </reference>
        </references>
      </pivotArea>
    </chartFormat>
    <chartFormat chart="3" format="12">
      <pivotArea type="data" outline="0" fieldPosition="0">
        <references count="2">
          <reference field="4294967294" count="1" selected="0">
            <x v="0"/>
          </reference>
          <reference field="9" count="1" selected="0">
            <x v="2"/>
          </reference>
        </references>
      </pivotArea>
    </chartFormat>
    <chartFormat chart="0" format="1">
      <pivotArea type="data" outline="0" fieldPosition="0">
        <references count="2">
          <reference field="4294967294" count="1" selected="0">
            <x v="0"/>
          </reference>
          <reference field="9" count="1" selected="0">
            <x v="4"/>
          </reference>
        </references>
      </pivotArea>
    </chartFormat>
    <chartFormat chart="0" format="2">
      <pivotArea type="data" outline="0" fieldPosition="0">
        <references count="2">
          <reference field="4294967294" count="1" selected="0">
            <x v="0"/>
          </reference>
          <reference field="9" count="1" selected="0">
            <x v="1"/>
          </reference>
        </references>
      </pivotArea>
    </chartFormat>
    <chartFormat chart="0" format="3">
      <pivotArea type="data" outline="0" fieldPosition="0">
        <references count="2">
          <reference field="4294967294" count="1" selected="0">
            <x v="0"/>
          </reference>
          <reference field="9" count="1" selected="0">
            <x v="3"/>
          </reference>
        </references>
      </pivotArea>
    </chartFormat>
    <chartFormat chart="0" format="4">
      <pivotArea type="data" outline="0" fieldPosition="0">
        <references count="2">
          <reference field="4294967294" count="1" selected="0">
            <x v="0"/>
          </reference>
          <reference field="9" count="1" selected="0">
            <x v="0"/>
          </reference>
        </references>
      </pivotArea>
    </chartFormat>
    <chartFormat chart="0" format="5">
      <pivotArea type="data" outline="0" fieldPosition="0">
        <references count="2">
          <reference field="4294967294" count="1" selected="0">
            <x v="0"/>
          </reference>
          <reference field="9"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purl.oclc.org/ooxml/spreadsheetml/main" xmlns:mc="http://schemas.openxmlformats.org/markup-compatibility/2006" xmlns:xr="http://schemas.microsoft.com/office/spreadsheetml/2014/revision" mc:Ignorable="xr" xr:uid="{418F9A65-8A80-48BF-85E9-2F71FCE79AFC}" name="PivotTable6"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A3:B7" firstHeaderRow="1" firstDataRow="1" firstDataCol="1"/>
  <pivotFields count="15">
    <pivotField dataField="1" showAll="0"/>
    <pivotField numFmtId="14" showAll="0">
      <items count="15">
        <item x="0"/>
        <item x="1"/>
        <item x="2"/>
        <item x="3"/>
        <item x="4"/>
        <item x="5"/>
        <item x="6"/>
        <item x="7"/>
        <item x="8"/>
        <item x="9"/>
        <item x="10"/>
        <item x="11"/>
        <item x="12"/>
        <item x="13"/>
        <item t="default"/>
      </items>
    </pivotField>
    <pivotField showAll="0"/>
    <pivotField showAll="0">
      <items count="6">
        <item x="3"/>
        <item x="2"/>
        <item x="1"/>
        <item x="0"/>
        <item x="4"/>
        <item t="default"/>
      </items>
    </pivotField>
    <pivotField showAll="0"/>
    <pivotField showAll="0"/>
    <pivotField showAll="0"/>
    <pivotField showAll="0"/>
    <pivotField showAll="0">
      <items count="11">
        <item x="6"/>
        <item x="9"/>
        <item x="3"/>
        <item x="2"/>
        <item x="4"/>
        <item x="8"/>
        <item x="5"/>
        <item x="0"/>
        <item x="1"/>
        <item x="7"/>
        <item t="default"/>
      </items>
    </pivotField>
    <pivotField showAll="0">
      <items count="6">
        <item x="1"/>
        <item x="2"/>
        <item x="0"/>
        <item x="4"/>
        <item x="3"/>
        <item t="default"/>
      </items>
    </pivotField>
    <pivotField axis="axisRow" showAll="0">
      <items count="4">
        <item x="0"/>
        <item x="2"/>
        <item x="1"/>
        <item t="default"/>
      </items>
    </pivotField>
    <pivotField showAll="0"/>
    <pivotField showAll="0"/>
    <pivotField showAll="0"/>
    <pivotField showAll="0"/>
  </pivotFields>
  <rowFields count="1">
    <field x="10"/>
  </rowFields>
  <rowItems count="4">
    <i>
      <x/>
    </i>
    <i>
      <x v="1"/>
    </i>
    <i>
      <x v="2"/>
    </i>
    <i t="grand">
      <x/>
    </i>
  </rowItems>
  <colItems count="1">
    <i/>
  </colItems>
  <dataFields count="1">
    <dataField name="Count of Order ID" fld="0" subtotal="count" baseField="0" baseItem="0"/>
  </dataFields>
  <chartFormats count="8">
    <chartFormat chart="0" format="0"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10" count="1" selected="0">
            <x v="0"/>
          </reference>
        </references>
      </pivotArea>
    </chartFormat>
    <chartFormat chart="3" format="7">
      <pivotArea type="data" outline="0" fieldPosition="0">
        <references count="2">
          <reference field="4294967294" count="1" selected="0">
            <x v="0"/>
          </reference>
          <reference field="10" count="1" selected="0">
            <x v="1"/>
          </reference>
        </references>
      </pivotArea>
    </chartFormat>
    <chartFormat chart="3" format="8">
      <pivotArea type="data" outline="0" fieldPosition="0">
        <references count="2">
          <reference field="4294967294" count="1" selected="0">
            <x v="0"/>
          </reference>
          <reference field="10" count="1" selected="0">
            <x v="2"/>
          </reference>
        </references>
      </pivotArea>
    </chartFormat>
    <chartFormat chart="0" format="1">
      <pivotArea type="data" outline="0" fieldPosition="0">
        <references count="2">
          <reference field="4294967294" count="1" selected="0">
            <x v="0"/>
          </reference>
          <reference field="10" count="1" selected="0">
            <x v="0"/>
          </reference>
        </references>
      </pivotArea>
    </chartFormat>
    <chartFormat chart="0" format="2">
      <pivotArea type="data" outline="0" fieldPosition="0">
        <references count="2">
          <reference field="4294967294" count="1" selected="0">
            <x v="0"/>
          </reference>
          <reference field="10" count="1" selected="0">
            <x v="1"/>
          </reference>
        </references>
      </pivotArea>
    </chartFormat>
    <chartFormat chart="0" format="3">
      <pivotArea type="data" outline="0" fieldPosition="0">
        <references count="2">
          <reference field="4294967294" count="1" selected="0">
            <x v="0"/>
          </reference>
          <reference field="1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purl.oclc.org/ooxml/spreadsheetml/main" xmlns:mc="http://schemas.openxmlformats.org/markup-compatibility/2006" xmlns:xr="http://schemas.microsoft.com/office/spreadsheetml/2014/revision" mc:Ignorable="xr" xr:uid="{954B2310-D0C7-4459-BB49-EF3BD9E4B4DB}" name="PivotTable7"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A3:B14" firstHeaderRow="1" firstDataRow="1" firstDataCol="1"/>
  <pivotFields count="15">
    <pivotField showAll="0"/>
    <pivotField numFmtId="14" showAll="0">
      <items count="15">
        <item x="0"/>
        <item x="1"/>
        <item x="2"/>
        <item x="3"/>
        <item x="4"/>
        <item x="5"/>
        <item x="6"/>
        <item x="7"/>
        <item x="8"/>
        <item x="9"/>
        <item x="10"/>
        <item x="11"/>
        <item x="12"/>
        <item x="13"/>
        <item t="default"/>
      </items>
    </pivotField>
    <pivotField showAll="0"/>
    <pivotField showAll="0">
      <items count="6">
        <item x="3"/>
        <item x="2"/>
        <item x="1"/>
        <item x="0"/>
        <item x="4"/>
        <item t="default"/>
      </items>
    </pivotField>
    <pivotField showAll="0"/>
    <pivotField showAll="0"/>
    <pivotField dataField="1" showAll="0"/>
    <pivotField axis="axisRow" showAll="0" sortType="descending">
      <items count="11">
        <item x="8"/>
        <item x="7"/>
        <item x="5"/>
        <item x="1"/>
        <item x="0"/>
        <item x="9"/>
        <item x="2"/>
        <item x="6"/>
        <item x="3"/>
        <item x="4"/>
        <item t="default"/>
      </items>
      <autoSortScope>
        <pivotArea dataOnly="0" outline="0" fieldPosition="0">
          <references count="1">
            <reference field="4294967294" count="1" selected="0">
              <x v="0"/>
            </reference>
          </references>
        </pivotArea>
      </autoSortScope>
    </pivotField>
    <pivotField showAll="0">
      <items count="11">
        <item x="6"/>
        <item x="9"/>
        <item x="3"/>
        <item x="2"/>
        <item x="4"/>
        <item x="8"/>
        <item x="5"/>
        <item x="0"/>
        <item x="1"/>
        <item x="7"/>
        <item t="default"/>
      </items>
    </pivotField>
    <pivotField showAll="0">
      <items count="6">
        <item x="1"/>
        <item x="2"/>
        <item x="0"/>
        <item x="4"/>
        <item x="3"/>
        <item t="default"/>
      </items>
    </pivotField>
    <pivotField showAll="0">
      <items count="4">
        <item x="0"/>
        <item x="2"/>
        <item x="1"/>
        <item t="default"/>
      </items>
    </pivotField>
    <pivotField showAll="0"/>
    <pivotField showAll="0"/>
    <pivotField showAll="0"/>
    <pivotField showAll="0"/>
  </pivotFields>
  <rowFields count="1">
    <field x="7"/>
  </rowFields>
  <rowItems count="11">
    <i>
      <x v="8"/>
    </i>
    <i>
      <x v="5"/>
    </i>
    <i>
      <x v="4"/>
    </i>
    <i>
      <x v="6"/>
    </i>
    <i>
      <x v="3"/>
    </i>
    <i>
      <x v="2"/>
    </i>
    <i>
      <x v="7"/>
    </i>
    <i>
      <x v="1"/>
    </i>
    <i>
      <x/>
    </i>
    <i>
      <x v="9"/>
    </i>
    <i t="grand">
      <x/>
    </i>
  </rowItems>
  <colItems count="1">
    <i/>
  </colItems>
  <dataFields count="1">
    <dataField name="Sum of Total Sales" fld="6"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purl.oclc.org/ooxml/spreadsheetml/main" xmlns:mc="http://schemas.openxmlformats.org/markup-compatibility/2006" xmlns:xr="http://schemas.microsoft.com/office/spreadsheetml/2014/revision" mc:Ignorable="xr" xr:uid="{B6FD116A-EDBC-42E2-AFD3-2F82DC71D9B6}" name="PivotTable8"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A3:B7" firstHeaderRow="1" firstDataRow="1" firstDataCol="1"/>
  <pivotFields count="15">
    <pivotField showAll="0"/>
    <pivotField axis="axisRow" numFmtId="14" showAll="0">
      <items count="15">
        <item x="0"/>
        <item x="1"/>
        <item x="2"/>
        <item x="3"/>
        <item x="4"/>
        <item x="5"/>
        <item x="6"/>
        <item x="7"/>
        <item x="8"/>
        <item x="9"/>
        <item x="10"/>
        <item x="11"/>
        <item x="12"/>
        <item x="13"/>
        <item t="default"/>
      </items>
    </pivotField>
    <pivotField showAll="0"/>
    <pivotField showAll="0">
      <items count="6">
        <item x="3"/>
        <item x="2"/>
        <item x="1"/>
        <item x="0"/>
        <item x="4"/>
        <item t="default"/>
      </items>
    </pivotField>
    <pivotField showAll="0"/>
    <pivotField showAll="0"/>
    <pivotField dataField="1" showAll="0"/>
    <pivotField showAll="0"/>
    <pivotField showAll="0">
      <items count="11">
        <item x="6"/>
        <item x="9"/>
        <item x="3"/>
        <item x="2"/>
        <item x="4"/>
        <item x="8"/>
        <item x="5"/>
        <item x="0"/>
        <item x="1"/>
        <item x="7"/>
        <item t="default"/>
      </items>
    </pivotField>
    <pivotField showAll="0">
      <items count="6">
        <item x="1"/>
        <item x="2"/>
        <item x="0"/>
        <item x="4"/>
        <item x="3"/>
        <item t="default"/>
      </items>
    </pivotField>
    <pivotField showAll="0">
      <items count="4">
        <item x="0"/>
        <item x="2"/>
        <item x="1"/>
        <item t="default"/>
      </items>
    </pivotField>
    <pivotField showAll="0"/>
    <pivotField showAll="0"/>
    <pivotField showAll="0"/>
    <pivotField showAll="0"/>
  </pivotFields>
  <rowFields count="1">
    <field x="1"/>
  </rowFields>
  <rowItems count="4">
    <i>
      <x v="2"/>
    </i>
    <i>
      <x v="3"/>
    </i>
    <i>
      <x v="4"/>
    </i>
    <i t="grand">
      <x/>
    </i>
  </rowItems>
  <colItems count="1">
    <i/>
  </colItems>
  <dataFields count="1">
    <dataField name="Sum of Total Sales" fld="6"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purl.oclc.org/ooxml/spreadsheetml/main" xmlns:xr10="http://schemas.microsoft.com/office/spreadsheetml/2016/revision10" mc:Ignorable="x xr10" name="Slicer_Category" xr10:uid="{DF797449-8B50-4A59-AEB4-DF3B2BA66FCC}" sourceName="Category">
  <pivotTables>
    <pivotTable tabId="5" name="Total sales by Category"/>
    <pivotTable tabId="10" name="PivotTable7"/>
    <pivotTable tabId="7" name="PivotTable4"/>
    <pivotTable tabId="11" name="PivotTable8"/>
    <pivotTable tabId="8" name="PivotTable5"/>
    <pivotTable tabId="6" name="PivotTable3"/>
    <pivotTable tabId="9" name="PivotTable6"/>
  </pivotTables>
  <data>
    <tabular pivotCacheId="601255346">
      <items count="5">
        <i x="3" s="1"/>
        <i x="2" s="1"/>
        <i x="1" s="1"/>
        <i x="0" s="1"/>
        <i x="4" s="1"/>
      </items>
    </tabular>
  </data>
</slicerCacheDefinition>
</file>

<file path=xl/slicerCaches/slicerCache2.xml><?xml version="1.0" encoding="utf-8"?>
<slicerCacheDefinition xmlns="http://schemas.microsoft.com/office/spreadsheetml/2009/9/main" xmlns:mc="http://schemas.openxmlformats.org/markup-compatibility/2006" xmlns:x="http://purl.oclc.org/ooxml/spreadsheetml/main" xmlns:xr10="http://schemas.microsoft.com/office/spreadsheetml/2016/revision10" mc:Ignorable="x xr10" name="Slicer_Total_Sales" xr10:uid="{DF564B59-7C00-4D0D-A00E-48B8E3DAF1AF}" sourceName="Total Sales">
  <pivotTables>
    <pivotTable tabId="5" name="Total sales by Category"/>
  </pivotTables>
  <data>
    <tabular pivotCacheId="601255346">
      <items count="36">
        <i x="16" s="1"/>
        <i x="4" s="1"/>
        <i x="8" s="1"/>
        <i x="24" s="1"/>
        <i x="28" s="1"/>
        <i x="7" s="1"/>
        <i x="18" s="1"/>
        <i x="23" s="1"/>
        <i x="19" s="1"/>
        <i x="2" s="1"/>
        <i x="22" s="1"/>
        <i x="9" s="1"/>
        <i x="0" s="1"/>
        <i x="30" s="1"/>
        <i x="25" s="1"/>
        <i x="14" s="1"/>
        <i x="1" s="1"/>
        <i x="3" s="1"/>
        <i x="6" s="1"/>
        <i x="5" s="1"/>
        <i x="29" s="1"/>
        <i x="35" s="1"/>
        <i x="13" s="1"/>
        <i x="12" s="1"/>
        <i x="31" s="1"/>
        <i x="10" s="1"/>
        <i x="11" s="1"/>
        <i x="20" s="1"/>
        <i x="21" s="1"/>
        <i x="27" s="1"/>
        <i x="34" s="1"/>
        <i x="32" s="1"/>
        <i x="17" s="1"/>
        <i x="26" s="1"/>
        <i x="15" s="1"/>
        <i x="33" s="1"/>
      </items>
    </tabular>
  </data>
</slicerCacheDefinition>
</file>

<file path=xl/slicerCaches/slicerCache3.xml><?xml version="1.0" encoding="utf-8"?>
<slicerCacheDefinition xmlns="http://schemas.microsoft.com/office/spreadsheetml/2009/9/main" xmlns:mc="http://schemas.openxmlformats.org/markup-compatibility/2006" xmlns:x="http://purl.oclc.org/ooxml/spreadsheetml/main" xmlns:xr10="http://schemas.microsoft.com/office/spreadsheetml/2016/revision10" mc:Ignorable="x xr10" name="Slicer_Customer_Location" xr10:uid="{07EFE0BA-F8EF-4521-BBA1-EA1F100683EE}" sourceName="Customer Location">
  <pivotTables>
    <pivotTable tabId="7" name="PivotTable4"/>
    <pivotTable tabId="5" name="Total sales by Category"/>
    <pivotTable tabId="10" name="PivotTable7"/>
    <pivotTable tabId="11" name="PivotTable8"/>
    <pivotTable tabId="8" name="PivotTable5"/>
    <pivotTable tabId="6" name="PivotTable3"/>
    <pivotTable tabId="9" name="PivotTable6"/>
  </pivotTables>
  <data>
    <tabular pivotCacheId="601255346">
      <items count="10">
        <i x="6" s="1"/>
        <i x="9" s="1"/>
        <i x="3" s="1"/>
        <i x="2" s="1"/>
        <i x="4" s="1"/>
        <i x="8" s="1"/>
        <i x="5" s="1"/>
        <i x="0" s="1"/>
        <i x="1" s="1"/>
        <i x="7" s="1"/>
      </items>
    </tabular>
  </data>
</slicerCacheDefinition>
</file>

<file path=xl/slicerCaches/slicerCache4.xml><?xml version="1.0" encoding="utf-8"?>
<slicerCacheDefinition xmlns="http://schemas.microsoft.com/office/spreadsheetml/2009/9/main" xmlns:mc="http://schemas.openxmlformats.org/markup-compatibility/2006" xmlns:x="http://purl.oclc.org/ooxml/spreadsheetml/main" xmlns:xr10="http://schemas.microsoft.com/office/spreadsheetml/2016/revision10" mc:Ignorable="x xr10" name="Slicer_Payment_Method" xr10:uid="{6DACE89C-4A69-44EE-AC98-461B8BFB0B56}" sourceName="Payment Method">
  <pivotTables>
    <pivotTable tabId="8" name="PivotTable5"/>
    <pivotTable tabId="5" name="Total sales by Category"/>
    <pivotTable tabId="10" name="PivotTable7"/>
    <pivotTable tabId="7" name="PivotTable4"/>
    <pivotTable tabId="11" name="PivotTable8"/>
    <pivotTable tabId="6" name="PivotTable3"/>
    <pivotTable tabId="9" name="PivotTable6"/>
  </pivotTables>
  <data>
    <tabular pivotCacheId="601255346">
      <items count="5">
        <i x="1" s="1"/>
        <i x="2" s="1"/>
        <i x="0" s="1"/>
        <i x="4" s="1"/>
        <i x="3" s="1"/>
      </items>
    </tabular>
  </data>
</slicerCacheDefinition>
</file>

<file path=xl/slicerCaches/slicerCache5.xml><?xml version="1.0" encoding="utf-8"?>
<slicerCacheDefinition xmlns="http://schemas.microsoft.com/office/spreadsheetml/2009/9/main" xmlns:mc="http://schemas.openxmlformats.org/markup-compatibility/2006" xmlns:x="http://purl.oclc.org/ooxml/spreadsheetml/main" xmlns:xr10="http://schemas.microsoft.com/office/spreadsheetml/2016/revision10" mc:Ignorable="x xr10" name="Slicer_Status" xr10:uid="{931023D1-412C-401D-B973-B29A739C1EBB}" sourceName="Status">
  <pivotTables>
    <pivotTable tabId="9" name="PivotTable6"/>
    <pivotTable tabId="5" name="Total sales by Category"/>
    <pivotTable tabId="10" name="PivotTable7"/>
    <pivotTable tabId="7" name="PivotTable4"/>
    <pivotTable tabId="11" name="PivotTable8"/>
    <pivotTable tabId="8" name="PivotTable5"/>
    <pivotTable tabId="6" name="PivotTable3"/>
  </pivotTables>
  <data>
    <tabular pivotCacheId="601255346">
      <items count="3">
        <i x="0" s="1"/>
        <i x="2" s="1"/>
        <i x="1" s="1"/>
      </items>
    </tabular>
  </data>
</slicerCacheDefinition>
</file>

<file path=xl/slicers/slicer1.xml><?xml version="1.0" encoding="utf-8"?>
<slicers xmlns="http://schemas.microsoft.com/office/spreadsheetml/2009/9/main" xmlns:mc="http://schemas.openxmlformats.org/markup-compatibility/2006" xmlns:x="http://purl.oclc.org/ooxml/spreadsheetml/main" xmlns:xr10="http://schemas.microsoft.com/office/spreadsheetml/2016/revision10" mc:Ignorable="x xr10">
  <slicer name="Category" xr10:uid="{CE4AD0DE-FB31-4B03-9A17-29252992F3E9}" cache="Slicer_Category" caption="Category" rowHeight="241300"/>
  <slicer name="Total Sales" xr10:uid="{4ACAA590-3401-467E-97CD-F419FA2E4951}" cache="Slicer_Total_Sales" caption="Total Sales" rowHeight="241300"/>
</slicers>
</file>

<file path=xl/slicers/slicer2.xml><?xml version="1.0" encoding="utf-8"?>
<slicers xmlns="http://schemas.microsoft.com/office/spreadsheetml/2009/9/main" xmlns:mc="http://schemas.openxmlformats.org/markup-compatibility/2006" xmlns:x="http://purl.oclc.org/ooxml/spreadsheetml/main" xmlns:xr10="http://schemas.microsoft.com/office/spreadsheetml/2016/revision10" mc:Ignorable="x xr10">
  <slicer name="Category 1" xr10:uid="{241C7276-9F91-45DF-88C6-441F0F465FFF}" cache="Slicer_Category" caption="Category" rowHeight="241300"/>
  <slicer name="Customer Location" xr10:uid="{62FCB8ED-13FE-4F6A-AFF7-498E0B549CD2}" cache="Slicer_Customer_Location" caption="Customer Location" startItem="2" rowHeight="241300"/>
  <slicer name="Payment Method" xr10:uid="{A1C232B5-2903-4E41-943E-F2193A13D34C}" cache="Slicer_Payment_Method" caption="Payment Method" rowHeight="241300"/>
  <slicer name="Status" xr10:uid="{33866FB6-179E-42D6-A0CE-2CF2D78551C7}" cache="Slicer_Status" caption="Status" rowHeight="241300"/>
</slicers>
</file>

<file path=xl/tables/table1.xml><?xml version="1.0" encoding="utf-8"?>
<table xmlns="http://purl.oclc.org/ooxml/spreadsheetml/main" xmlns:mc="http://schemas.openxmlformats.org/markup-compatibility/2006" xmlns:xr="http://schemas.microsoft.com/office/spreadsheetml/2014/revision" xmlns:xr3="http://schemas.microsoft.com/office/spreadsheetml/2016/revision3" mc:Ignorable="xr xr3" id="1" xr:uid="{5266F23E-787C-4542-8C63-B01AAD8057AD}" name="Table1" displayName="Table1" ref="A1:O251" totalsRowShown="0">
  <autoFilter ref="A1:O251" xr:uid="{5266F23E-787C-4542-8C63-B01AAD8057AD}"/>
  <tableColumns count="15">
    <tableColumn id="1" xr3:uid="{D1D9B459-7E3D-4BE8-B31C-0BC5C34BCE0E}" name="Order ID"/>
    <tableColumn id="2" xr3:uid="{5BC4785A-D117-4063-BA7B-4BF637690676}" name="Date"/>
    <tableColumn id="3" xr3:uid="{AD2BF4FD-0C4F-4A3C-98BA-F3D0F845E1FE}" name="Product"/>
    <tableColumn id="4" xr3:uid="{134342AC-B1FD-4285-8D6E-EC6861131117}" name="Category"/>
    <tableColumn id="5" xr3:uid="{D38BE381-224B-4D3E-BF9D-91C751B29812}" name="Price"/>
    <tableColumn id="6" xr3:uid="{21948F88-4BAF-4334-BDC7-9992B056BF81}" name="Quantity"/>
    <tableColumn id="7" xr3:uid="{C422F6F3-1B18-4B27-B150-9FE9CA81C4A8}" name="Total Sales"/>
    <tableColumn id="8" xr3:uid="{70BF07F9-180A-46F0-933B-5D231E2C7A21}" name="Customer Name"/>
    <tableColumn id="9" xr3:uid="{D0DE02E5-3828-467F-99D3-A5620166D291}" name="Customer Location"/>
    <tableColumn id="10" xr3:uid="{7F893973-1D59-4AF2-B153-F4D3A46252F0}" name="Payment Method"/>
    <tableColumn id="11" xr3:uid="{D5B4326E-E85C-4436-9398-12FD9B1A9BC2}" name="Status"/>
    <tableColumn id="12" xr3:uid="{75D9C456-6244-45E7-B336-01FE552EF684}" name="Sales_Check" dataDxfId="3">
      <calculatedColumnFormula>IF(E2*F2=G2,"OK","CHECK")</calculatedColumnFormula>
    </tableColumn>
    <tableColumn id="13" xr3:uid="{60723C9D-1ECC-4898-9C4C-CE146267BD86}" name="Month" dataDxfId="2">
      <calculatedColumnFormula>TEXT(B2,"MMM")</calculatedColumnFormula>
    </tableColumn>
    <tableColumn id="14" xr3:uid="{FF8DD9A5-ED2C-44E1-B016-15DBA8A1CC3F}" name="Day of Week" dataDxfId="1">
      <calculatedColumnFormula>TEXT(B2,"dddd")</calculatedColumnFormula>
    </tableColumn>
    <tableColumn id="15" xr3:uid="{F5D8CBAD-42AB-4CB8-B307-4A6A536BB488}" name="Order Status Flag" dataDxfId="0">
      <calculatedColumnFormula>IF(K2="Completed","Delivered",K2)</calculatedColumnFormula>
    </tableColumn>
  </tableColumns>
  <tableStyleInfo name="TableStyleMedium2" showFirstColumn="0" showLastColumn="0" showRowStripes="1" showColumnStripes="0"/>
</table>
</file>

<file path=xl/theme/theme1.xml><?xml version="1.0" encoding="utf-8"?>
<a:theme xmlns:a="http://purl.oclc.org/ooxml/drawingml/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
                <a:satMod val="105%"/>
                <a:tint val="67%"/>
              </a:schemeClr>
            </a:gs>
            <a:gs pos="50%">
              <a:schemeClr val="phClr">
                <a:lumMod val="105%"/>
                <a:satMod val="103%"/>
                <a:tint val="73%"/>
              </a:schemeClr>
            </a:gs>
            <a:gs pos="100%">
              <a:schemeClr val="phClr">
                <a:lumMod val="105%"/>
                <a:satMod val="109%"/>
                <a:tint val="81%"/>
              </a:schemeClr>
            </a:gs>
          </a:gsLst>
          <a:lin ang="5400000" scaled="0"/>
        </a:gradFill>
        <a:gradFill rotWithShape="1">
          <a:gsLst>
            <a:gs pos="0%">
              <a:schemeClr val="phClr">
                <a:satMod val="103%"/>
                <a:lumMod val="102%"/>
                <a:tint val="94%"/>
              </a:schemeClr>
            </a:gs>
            <a:gs pos="50%">
              <a:schemeClr val="phClr">
                <a:satMod val="110%"/>
                <a:lumMod val="100%"/>
                <a:shade val="100%"/>
              </a:schemeClr>
            </a:gs>
            <a:gs pos="100%">
              <a:schemeClr val="phClr">
                <a:lumMod val="99%"/>
                <a:satMod val="120%"/>
                <a:shade val="78%"/>
              </a:schemeClr>
            </a:gs>
          </a:gsLst>
          <a:lin ang="5400000" scaled="0"/>
        </a:gradFill>
      </a:fillStyleLst>
      <a:lnStyleLst>
        <a:ln w="6350" cap="flat" cmpd="sng" algn="ctr">
          <a:solidFill>
            <a:schemeClr val="phClr"/>
          </a:solidFill>
          <a:prstDash val="solid"/>
          <a:miter lim="800%"/>
        </a:ln>
        <a:ln w="12700" cap="flat" cmpd="sng" algn="ctr">
          <a:solidFill>
            <a:schemeClr val="phClr"/>
          </a:solidFill>
          <a:prstDash val="solid"/>
          <a:miter lim="800%"/>
        </a:ln>
        <a:ln w="19050" cap="flat" cmpd="sng" algn="ctr">
          <a:solidFill>
            <a:schemeClr val="phClr"/>
          </a:solidFill>
          <a:prstDash val="solid"/>
          <a:miter lim="800%"/>
        </a:ln>
      </a:lnStyleLst>
      <a:effectStyleLst>
        <a:effectStyle>
          <a:effectLst/>
        </a:effectStyle>
        <a:effectStyle>
          <a:effectLst/>
        </a:effectStyle>
        <a:effectStyle>
          <a:effectLst>
            <a:outerShdw blurRad="57150" dist="19050" dir="5400000" algn="ctr" rotWithShape="0">
              <a:srgbClr val="000000">
                <a:alpha val="63%"/>
              </a:srgbClr>
            </a:outerShdw>
          </a:effectLst>
        </a:effectStyle>
      </a:effectStyleLst>
      <a:bgFillStyleLst>
        <a:solidFill>
          <a:schemeClr val="phClr"/>
        </a:solidFill>
        <a:solidFill>
          <a:schemeClr val="phClr">
            <a:tint val="95%"/>
            <a:satMod val="170%"/>
          </a:schemeClr>
        </a:solidFill>
        <a:gradFill rotWithShape="1">
          <a:gsLst>
            <a:gs pos="0%">
              <a:schemeClr val="phClr">
                <a:tint val="93%"/>
                <a:satMod val="150%"/>
                <a:shade val="98%"/>
                <a:lumMod val="102%"/>
              </a:schemeClr>
            </a:gs>
            <a:gs pos="50%">
              <a:schemeClr val="phClr">
                <a:tint val="98%"/>
                <a:satMod val="130%"/>
                <a:shade val="90%"/>
                <a:lumMod val="103%"/>
              </a:schemeClr>
            </a:gs>
            <a:gs pos="100%">
              <a:schemeClr val="phClr">
                <a:shade val="63%"/>
                <a:satMod val="12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2" Type="http://purl.oclc.org/ooxml/officeDocument/relationships/table" Target="../tables/table1.xml"/><Relationship Id="rId1" Type="http://purl.oclc.org/ooxml/officeDocument/relationships/printerSettings" Target="../printerSettings/printerSettings1.bin"/></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purl.oclc.org/ooxml/officeDocument/relationships/drawing" Target="../drawings/drawing1.xml"/><Relationship Id="rId1" Type="http://purl.oclc.org/ooxml/officeDocument/relationships/pivotTable" Target="../pivotTables/pivotTable1.xml"/></Relationships>
</file>

<file path=xl/worksheets/_rels/sheet5.xml.rels><?xml version="1.0" encoding="UTF-8" standalone="yes"?>
<Relationships xmlns="http://schemas.openxmlformats.org/package/2006/relationships"><Relationship Id="rId2" Type="http://purl.oclc.org/ooxml/officeDocument/relationships/drawing" Target="../drawings/drawing2.xml"/><Relationship Id="rId1" Type="http://purl.oclc.org/ooxml/officeDocument/relationships/pivotTable" Target="../pivotTables/pivotTable2.xml"/></Relationships>
</file>

<file path=xl/worksheets/_rels/sheet6.xml.rels><?xml version="1.0" encoding="UTF-8" standalone="yes"?>
<Relationships xmlns="http://schemas.openxmlformats.org/package/2006/relationships"><Relationship Id="rId2" Type="http://purl.oclc.org/ooxml/officeDocument/relationships/drawing" Target="../drawings/drawing3.xml"/><Relationship Id="rId1" Type="http://purl.oclc.org/ooxml/officeDocument/relationships/pivotTable" Target="../pivotTables/pivotTable3.xml"/></Relationships>
</file>

<file path=xl/worksheets/_rels/sheet7.xml.rels><?xml version="1.0" encoding="UTF-8" standalone="yes"?>
<Relationships xmlns="http://schemas.openxmlformats.org/package/2006/relationships"><Relationship Id="rId2" Type="http://purl.oclc.org/ooxml/officeDocument/relationships/drawing" Target="../drawings/drawing4.xml"/><Relationship Id="rId1" Type="http://purl.oclc.org/ooxml/officeDocument/relationships/pivotTable" Target="../pivotTables/pivotTable4.xml"/></Relationships>
</file>

<file path=xl/worksheets/_rels/sheet8.xml.rels><?xml version="1.0" encoding="UTF-8" standalone="yes"?>
<Relationships xmlns="http://schemas.openxmlformats.org/package/2006/relationships"><Relationship Id="rId2" Type="http://purl.oclc.org/ooxml/officeDocument/relationships/drawing" Target="../drawings/drawing5.xml"/><Relationship Id="rId1" Type="http://purl.oclc.org/ooxml/officeDocument/relationships/pivotTable" Target="../pivotTables/pivotTable5.xml"/></Relationships>
</file>

<file path=xl/worksheets/_rels/sheet9.xml.rels><?xml version="1.0" encoding="UTF-8" standalone="yes"?>
<Relationships xmlns="http://schemas.openxmlformats.org/package/2006/relationships"><Relationship Id="rId2" Type="http://purl.oclc.org/ooxml/officeDocument/relationships/drawing" Target="../drawings/drawing6.xml"/><Relationship Id="rId1" Type="http://purl.oclc.org/ooxml/officeDocument/relationships/pivotTable" Target="../pivotTables/pivotTable6.xml"/></Relationships>
</file>

<file path=xl/worksheets/_rels/sheet10.xml.rels><?xml version="1.0" encoding="UTF-8" standalone="yes"?>
<Relationships xmlns="http://schemas.openxmlformats.org/package/2006/relationships"><Relationship Id="rId2" Type="http://purl.oclc.org/ooxml/officeDocument/relationships/drawing" Target="../drawings/drawing7.xml"/><Relationship Id="rId1" Type="http://purl.oclc.org/ooxml/officeDocument/relationships/pivotTable" Target="../pivotTables/pivotTable7.xml"/></Relationships>
</file>

<file path=xl/worksheets/_rels/sheet11.xml.rels><?xml version="1.0" encoding="UTF-8" standalone="yes"?>
<Relationships xmlns="http://schemas.openxmlformats.org/package/2006/relationships"><Relationship Id="rId3" Type="http://schemas.microsoft.com/office/2007/relationships/slicer" Target="../slicers/slicer2.xml"/><Relationship Id="rId2" Type="http://purl.oclc.org/ooxml/officeDocument/relationships/drawing" Target="../drawings/drawing8.xml"/><Relationship Id="rId1" Type="http://purl.oclc.org/ooxml/officeDocument/relationships/printerSettings" Target="../printerSettings/printerSettings2.bin"/></Relationships>
</file>

<file path=xl/worksheets/sheet1.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251"/>
  <sheetViews>
    <sheetView workbookViewId="0">
      <selection activeCell="E25" sqref="A1:K251"/>
    </sheetView>
  </sheetViews>
  <sheetFormatPr defaultRowHeight="14.5" x14ac:dyDescent="0.35"/>
  <sheetData>
    <row r="1" spans="1:11" x14ac:dyDescent="0.35">
      <c r="A1" t="s">
        <v>0</v>
      </c>
      <c r="B1" t="s">
        <v>1</v>
      </c>
      <c r="C1" t="s">
        <v>2</v>
      </c>
      <c r="D1" t="s">
        <v>3</v>
      </c>
      <c r="E1" t="s">
        <v>4</v>
      </c>
      <c r="F1" t="s">
        <v>5</v>
      </c>
      <c r="G1" t="s">
        <v>6</v>
      </c>
      <c r="H1" t="s">
        <v>7</v>
      </c>
      <c r="I1" t="s">
        <v>8</v>
      </c>
      <c r="J1" t="s">
        <v>9</v>
      </c>
      <c r="K1" t="s">
        <v>10</v>
      </c>
    </row>
    <row r="2" spans="1:11" x14ac:dyDescent="0.35">
      <c r="A2" t="s">
        <v>11</v>
      </c>
      <c r="B2" s="1" t="d">
        <v>2025-03-14</v>
      </c>
      <c r="C2" t="s">
        <v>12</v>
      </c>
      <c r="D2" t="s">
        <v>13</v>
      </c>
      <c r="E2">
        <v>60</v>
      </c>
      <c r="F2">
        <v>3</v>
      </c>
      <c r="G2">
        <v>180</v>
      </c>
      <c r="H2" t="s">
        <v>14</v>
      </c>
      <c r="I2" t="s">
        <v>15</v>
      </c>
      <c r="J2" t="s">
        <v>16</v>
      </c>
      <c r="K2" t="s">
        <v>17</v>
      </c>
    </row>
    <row r="3" spans="1:11" x14ac:dyDescent="0.35">
      <c r="A3" t="s">
        <v>18</v>
      </c>
      <c r="B3" s="1" t="d">
        <v>2025-03-20</v>
      </c>
      <c r="C3" t="s">
        <v>19</v>
      </c>
      <c r="D3" t="s">
        <v>20</v>
      </c>
      <c r="E3">
        <v>100</v>
      </c>
      <c r="F3">
        <v>4</v>
      </c>
      <c r="G3">
        <v>400</v>
      </c>
      <c r="H3" t="s">
        <v>21</v>
      </c>
      <c r="I3" t="s">
        <v>22</v>
      </c>
      <c r="J3" t="s">
        <v>16</v>
      </c>
      <c r="K3" t="s">
        <v>23</v>
      </c>
    </row>
    <row r="4" spans="1:11" x14ac:dyDescent="0.35">
      <c r="A4" t="s">
        <v>24</v>
      </c>
      <c r="B4" s="1" t="d">
        <v>2025-02-15</v>
      </c>
      <c r="C4" t="s">
        <v>12</v>
      </c>
      <c r="D4" t="s">
        <v>13</v>
      </c>
      <c r="E4">
        <v>60</v>
      </c>
      <c r="F4">
        <v>2</v>
      </c>
      <c r="G4">
        <v>120</v>
      </c>
      <c r="H4" t="s">
        <v>25</v>
      </c>
      <c r="I4" t="s">
        <v>26</v>
      </c>
      <c r="J4" t="s">
        <v>27</v>
      </c>
      <c r="K4" t="s">
        <v>17</v>
      </c>
    </row>
    <row r="5" spans="1:11" x14ac:dyDescent="0.35">
      <c r="A5" t="s">
        <v>28</v>
      </c>
      <c r="B5" s="1" t="d">
        <v>2025-02-19</v>
      </c>
      <c r="C5" t="s">
        <v>12</v>
      </c>
      <c r="D5" t="s">
        <v>13</v>
      </c>
      <c r="E5">
        <v>60</v>
      </c>
      <c r="F5">
        <v>3</v>
      </c>
      <c r="G5">
        <v>180</v>
      </c>
      <c r="H5" t="s">
        <v>29</v>
      </c>
      <c r="I5" t="s">
        <v>30</v>
      </c>
      <c r="J5" t="s">
        <v>31</v>
      </c>
      <c r="K5" t="s">
        <v>23</v>
      </c>
    </row>
    <row r="6" spans="1:11" x14ac:dyDescent="0.35">
      <c r="A6" t="s">
        <v>32</v>
      </c>
      <c r="B6" s="1" t="d">
        <v>2025-03-10</v>
      </c>
      <c r="C6" t="s">
        <v>33</v>
      </c>
      <c r="D6" t="s">
        <v>20</v>
      </c>
      <c r="E6">
        <v>150</v>
      </c>
      <c r="F6">
        <v>3</v>
      </c>
      <c r="G6">
        <v>450</v>
      </c>
      <c r="H6" t="s">
        <v>14</v>
      </c>
      <c r="I6" t="s">
        <v>15</v>
      </c>
      <c r="J6" t="s">
        <v>16</v>
      </c>
      <c r="K6" t="s">
        <v>23</v>
      </c>
    </row>
    <row r="7" spans="1:11" x14ac:dyDescent="0.35">
      <c r="A7" t="s">
        <v>34</v>
      </c>
      <c r="B7" s="1" t="d">
        <v>2025-03-14</v>
      </c>
      <c r="C7" t="s">
        <v>35</v>
      </c>
      <c r="D7" t="s">
        <v>36</v>
      </c>
      <c r="E7">
        <v>20</v>
      </c>
      <c r="F7">
        <v>1</v>
      </c>
      <c r="G7">
        <v>20</v>
      </c>
      <c r="H7" t="s">
        <v>25</v>
      </c>
      <c r="I7" t="s">
        <v>30</v>
      </c>
      <c r="J7" t="s">
        <v>31</v>
      </c>
      <c r="K7" t="s">
        <v>23</v>
      </c>
    </row>
    <row r="8" spans="1:11" x14ac:dyDescent="0.35">
      <c r="A8" t="s">
        <v>37</v>
      </c>
      <c r="B8" s="1" t="d">
        <v>2025-03-18</v>
      </c>
      <c r="C8" t="s">
        <v>33</v>
      </c>
      <c r="D8" t="s">
        <v>20</v>
      </c>
      <c r="E8">
        <v>150</v>
      </c>
      <c r="F8">
        <v>4</v>
      </c>
      <c r="G8">
        <v>600</v>
      </c>
      <c r="H8" t="s">
        <v>14</v>
      </c>
      <c r="I8" t="s">
        <v>38</v>
      </c>
      <c r="J8" t="s">
        <v>39</v>
      </c>
      <c r="K8" t="s">
        <v>40</v>
      </c>
    </row>
    <row r="9" spans="1:11" x14ac:dyDescent="0.35">
      <c r="A9" t="s">
        <v>41</v>
      </c>
      <c r="B9" s="1" t="d">
        <v>2025-03-02</v>
      </c>
      <c r="C9" t="s">
        <v>42</v>
      </c>
      <c r="D9" t="s">
        <v>20</v>
      </c>
      <c r="E9">
        <v>500</v>
      </c>
      <c r="F9">
        <v>1</v>
      </c>
      <c r="G9">
        <v>500</v>
      </c>
      <c r="H9" t="s">
        <v>43</v>
      </c>
      <c r="I9" t="s">
        <v>44</v>
      </c>
      <c r="J9" t="s">
        <v>39</v>
      </c>
      <c r="K9" t="s">
        <v>40</v>
      </c>
    </row>
    <row r="10" spans="1:11" x14ac:dyDescent="0.35">
      <c r="A10" t="s">
        <v>45</v>
      </c>
      <c r="B10" s="1" t="d">
        <v>2025-03-08</v>
      </c>
      <c r="C10" t="s">
        <v>35</v>
      </c>
      <c r="D10" t="s">
        <v>36</v>
      </c>
      <c r="E10">
        <v>20</v>
      </c>
      <c r="F10">
        <v>3</v>
      </c>
      <c r="G10">
        <v>60</v>
      </c>
      <c r="H10" t="s">
        <v>43</v>
      </c>
      <c r="I10" t="s">
        <v>46</v>
      </c>
      <c r="J10" t="s">
        <v>39</v>
      </c>
      <c r="K10" t="s">
        <v>40</v>
      </c>
    </row>
    <row r="11" spans="1:11" x14ac:dyDescent="0.35">
      <c r="A11" t="s">
        <v>47</v>
      </c>
      <c r="B11" s="1" t="d">
        <v>2025-03-12</v>
      </c>
      <c r="C11" t="s">
        <v>42</v>
      </c>
      <c r="D11" t="s">
        <v>20</v>
      </c>
      <c r="E11">
        <v>500</v>
      </c>
      <c r="F11">
        <v>1</v>
      </c>
      <c r="G11">
        <v>500</v>
      </c>
      <c r="H11" t="s">
        <v>21</v>
      </c>
      <c r="I11" t="s">
        <v>22</v>
      </c>
      <c r="J11" t="s">
        <v>31</v>
      </c>
      <c r="K11" t="s">
        <v>17</v>
      </c>
    </row>
    <row r="12" spans="1:11" x14ac:dyDescent="0.35">
      <c r="A12" t="s">
        <v>48</v>
      </c>
      <c r="B12" s="1" t="d">
        <v>2025-02-17</v>
      </c>
      <c r="C12" t="s">
        <v>49</v>
      </c>
      <c r="D12" t="s">
        <v>50</v>
      </c>
      <c r="E12">
        <v>15</v>
      </c>
      <c r="F12">
        <v>2</v>
      </c>
      <c r="G12">
        <v>30</v>
      </c>
      <c r="H12" t="s">
        <v>51</v>
      </c>
      <c r="I12" t="s">
        <v>46</v>
      </c>
      <c r="J12" t="s">
        <v>27</v>
      </c>
      <c r="K12" t="s">
        <v>23</v>
      </c>
    </row>
    <row r="13" spans="1:11" x14ac:dyDescent="0.35">
      <c r="A13" t="s">
        <v>52</v>
      </c>
      <c r="B13" s="1" t="d">
        <v>2025-03-13</v>
      </c>
      <c r="C13" t="s">
        <v>53</v>
      </c>
      <c r="D13" t="s">
        <v>36</v>
      </c>
      <c r="E13">
        <v>40</v>
      </c>
      <c r="F13">
        <v>4</v>
      </c>
      <c r="G13">
        <v>160</v>
      </c>
      <c r="H13" t="s">
        <v>54</v>
      </c>
      <c r="I13" t="s">
        <v>30</v>
      </c>
      <c r="J13" t="s">
        <v>31</v>
      </c>
      <c r="K13" t="s">
        <v>40</v>
      </c>
    </row>
    <row r="14" spans="1:11" x14ac:dyDescent="0.35">
      <c r="A14" t="s">
        <v>55</v>
      </c>
      <c r="B14" s="1" t="d">
        <v>2025-03-01</v>
      </c>
      <c r="C14" t="s">
        <v>56</v>
      </c>
      <c r="D14" t="s">
        <v>20</v>
      </c>
      <c r="E14">
        <v>800</v>
      </c>
      <c r="F14">
        <v>2</v>
      </c>
      <c r="G14">
        <v>1600</v>
      </c>
      <c r="H14" t="s">
        <v>57</v>
      </c>
      <c r="I14" t="s">
        <v>22</v>
      </c>
      <c r="J14" t="s">
        <v>58</v>
      </c>
      <c r="K14" t="s">
        <v>23</v>
      </c>
    </row>
    <row r="15" spans="1:11" x14ac:dyDescent="0.35">
      <c r="A15" t="s">
        <v>59</v>
      </c>
      <c r="B15" s="1" t="d">
        <v>2025-03-04</v>
      </c>
      <c r="C15" t="s">
        <v>60</v>
      </c>
      <c r="D15" t="s">
        <v>61</v>
      </c>
      <c r="E15">
        <v>600</v>
      </c>
      <c r="F15">
        <v>3</v>
      </c>
      <c r="G15">
        <v>1800</v>
      </c>
      <c r="H15" t="s">
        <v>54</v>
      </c>
      <c r="I15" t="s">
        <v>44</v>
      </c>
      <c r="J15" t="s">
        <v>31</v>
      </c>
      <c r="K15" t="s">
        <v>17</v>
      </c>
    </row>
    <row r="16" spans="1:11" x14ac:dyDescent="0.35">
      <c r="A16" t="s">
        <v>62</v>
      </c>
      <c r="B16" s="1" t="d">
        <v>2025-02-20</v>
      </c>
      <c r="C16" t="s">
        <v>33</v>
      </c>
      <c r="D16" t="s">
        <v>20</v>
      </c>
      <c r="E16">
        <v>150</v>
      </c>
      <c r="F16">
        <v>4</v>
      </c>
      <c r="G16">
        <v>600</v>
      </c>
      <c r="H16" t="s">
        <v>25</v>
      </c>
      <c r="I16" t="s">
        <v>63</v>
      </c>
      <c r="J16" t="s">
        <v>31</v>
      </c>
      <c r="K16" t="s">
        <v>40</v>
      </c>
    </row>
    <row r="17" spans="1:11" x14ac:dyDescent="0.35">
      <c r="A17" t="s">
        <v>64</v>
      </c>
      <c r="B17" s="1" t="d">
        <v>2025-02-26</v>
      </c>
      <c r="C17" t="s">
        <v>65</v>
      </c>
      <c r="D17" t="s">
        <v>61</v>
      </c>
      <c r="E17">
        <v>1200</v>
      </c>
      <c r="F17">
        <v>1</v>
      </c>
      <c r="G17">
        <v>1200</v>
      </c>
      <c r="H17" t="s">
        <v>25</v>
      </c>
      <c r="I17" t="s">
        <v>46</v>
      </c>
      <c r="J17" t="s">
        <v>31</v>
      </c>
      <c r="K17" t="s">
        <v>17</v>
      </c>
    </row>
    <row r="18" spans="1:11" x14ac:dyDescent="0.35">
      <c r="A18" t="s">
        <v>66</v>
      </c>
      <c r="B18" s="1" t="d">
        <v>2025-04-01</v>
      </c>
      <c r="C18" t="s">
        <v>35</v>
      </c>
      <c r="D18" t="s">
        <v>36</v>
      </c>
      <c r="E18">
        <v>20</v>
      </c>
      <c r="F18">
        <v>1</v>
      </c>
      <c r="G18">
        <v>20</v>
      </c>
      <c r="H18" t="s">
        <v>14</v>
      </c>
      <c r="I18" t="s">
        <v>15</v>
      </c>
      <c r="J18" t="s">
        <v>27</v>
      </c>
      <c r="K18" t="s">
        <v>40</v>
      </c>
    </row>
    <row r="19" spans="1:11" x14ac:dyDescent="0.35">
      <c r="A19" t="s">
        <v>67</v>
      </c>
      <c r="B19" s="1" t="d">
        <v>2025-02-10</v>
      </c>
      <c r="C19" t="s">
        <v>42</v>
      </c>
      <c r="D19" t="s">
        <v>20</v>
      </c>
      <c r="E19">
        <v>500</v>
      </c>
      <c r="F19">
        <v>2</v>
      </c>
      <c r="G19">
        <v>1000</v>
      </c>
      <c r="H19" t="s">
        <v>54</v>
      </c>
      <c r="I19" t="s">
        <v>68</v>
      </c>
      <c r="J19" t="s">
        <v>27</v>
      </c>
      <c r="K19" t="s">
        <v>40</v>
      </c>
    </row>
    <row r="20" spans="1:11" x14ac:dyDescent="0.35">
      <c r="A20" t="s">
        <v>69</v>
      </c>
      <c r="B20" s="1" t="d">
        <v>2025-03-22</v>
      </c>
      <c r="C20" t="s">
        <v>12</v>
      </c>
      <c r="D20" t="s">
        <v>13</v>
      </c>
      <c r="E20">
        <v>60</v>
      </c>
      <c r="F20">
        <v>3</v>
      </c>
      <c r="G20">
        <v>180</v>
      </c>
      <c r="H20" t="s">
        <v>29</v>
      </c>
      <c r="I20" t="s">
        <v>38</v>
      </c>
      <c r="J20" t="s">
        <v>31</v>
      </c>
      <c r="K20" t="s">
        <v>40</v>
      </c>
    </row>
    <row r="21" spans="1:11" x14ac:dyDescent="0.35">
      <c r="A21" t="s">
        <v>70</v>
      </c>
      <c r="B21" s="1" t="d">
        <v>2025-03-07</v>
      </c>
      <c r="C21" t="s">
        <v>19</v>
      </c>
      <c r="D21" t="s">
        <v>20</v>
      </c>
      <c r="E21">
        <v>100</v>
      </c>
      <c r="F21">
        <v>4</v>
      </c>
      <c r="G21">
        <v>400</v>
      </c>
      <c r="H21" t="s">
        <v>29</v>
      </c>
      <c r="I21" t="s">
        <v>63</v>
      </c>
      <c r="J21" t="s">
        <v>16</v>
      </c>
      <c r="K21" t="s">
        <v>23</v>
      </c>
    </row>
    <row r="22" spans="1:11" x14ac:dyDescent="0.35">
      <c r="A22" t="s">
        <v>71</v>
      </c>
      <c r="B22" s="1" t="d">
        <v>2025-02-05</v>
      </c>
      <c r="C22" t="s">
        <v>19</v>
      </c>
      <c r="D22" t="s">
        <v>20</v>
      </c>
      <c r="E22">
        <v>100</v>
      </c>
      <c r="F22">
        <v>3</v>
      </c>
      <c r="G22">
        <v>300</v>
      </c>
      <c r="H22" t="s">
        <v>72</v>
      </c>
      <c r="I22" t="s">
        <v>44</v>
      </c>
      <c r="J22" t="s">
        <v>16</v>
      </c>
      <c r="K22" t="s">
        <v>17</v>
      </c>
    </row>
    <row r="23" spans="1:11" x14ac:dyDescent="0.35">
      <c r="A23" t="s">
        <v>73</v>
      </c>
      <c r="B23" s="1" t="d">
        <v>2025-03-07</v>
      </c>
      <c r="C23" t="s">
        <v>65</v>
      </c>
      <c r="D23" t="s">
        <v>61</v>
      </c>
      <c r="E23">
        <v>1200</v>
      </c>
      <c r="F23">
        <v>4</v>
      </c>
      <c r="G23">
        <v>4800</v>
      </c>
      <c r="H23" t="s">
        <v>29</v>
      </c>
      <c r="I23" t="s">
        <v>38</v>
      </c>
      <c r="J23" t="s">
        <v>31</v>
      </c>
      <c r="K23" t="s">
        <v>23</v>
      </c>
    </row>
    <row r="24" spans="1:11" x14ac:dyDescent="0.35">
      <c r="A24" t="s">
        <v>74</v>
      </c>
      <c r="B24" s="1" t="d">
        <v>2025-02-23</v>
      </c>
      <c r="C24" t="s">
        <v>49</v>
      </c>
      <c r="D24" t="s">
        <v>50</v>
      </c>
      <c r="E24">
        <v>15</v>
      </c>
      <c r="F24">
        <v>1</v>
      </c>
      <c r="G24">
        <v>15</v>
      </c>
      <c r="H24" t="s">
        <v>14</v>
      </c>
      <c r="I24" t="s">
        <v>38</v>
      </c>
      <c r="J24" t="s">
        <v>31</v>
      </c>
      <c r="K24" t="s">
        <v>23</v>
      </c>
    </row>
    <row r="25" spans="1:11" x14ac:dyDescent="0.35">
      <c r="A25" t="s">
        <v>75</v>
      </c>
      <c r="B25" s="1" t="d">
        <v>2025-03-24</v>
      </c>
      <c r="C25" t="s">
        <v>65</v>
      </c>
      <c r="D25" t="s">
        <v>61</v>
      </c>
      <c r="E25">
        <v>1200</v>
      </c>
      <c r="F25">
        <v>3</v>
      </c>
      <c r="G25">
        <v>3600</v>
      </c>
      <c r="H25" t="s">
        <v>72</v>
      </c>
      <c r="I25" t="s">
        <v>30</v>
      </c>
      <c r="J25" t="s">
        <v>31</v>
      </c>
      <c r="K25" t="s">
        <v>17</v>
      </c>
    </row>
    <row r="26" spans="1:11" x14ac:dyDescent="0.35">
      <c r="A26" t="s">
        <v>76</v>
      </c>
      <c r="B26" s="1" t="d">
        <v>2025-03-02</v>
      </c>
      <c r="C26" t="s">
        <v>49</v>
      </c>
      <c r="D26" t="s">
        <v>50</v>
      </c>
      <c r="E26">
        <v>15</v>
      </c>
      <c r="F26">
        <v>5</v>
      </c>
      <c r="G26">
        <v>75</v>
      </c>
      <c r="H26" t="s">
        <v>43</v>
      </c>
      <c r="I26" t="s">
        <v>63</v>
      </c>
      <c r="J26" t="s">
        <v>27</v>
      </c>
      <c r="K26" t="s">
        <v>40</v>
      </c>
    </row>
    <row r="27" spans="1:11" x14ac:dyDescent="0.35">
      <c r="A27" t="s">
        <v>77</v>
      </c>
      <c r="B27" s="1" t="d">
        <v>2025-02-14</v>
      </c>
      <c r="C27" t="s">
        <v>60</v>
      </c>
      <c r="D27" t="s">
        <v>61</v>
      </c>
      <c r="E27">
        <v>600</v>
      </c>
      <c r="F27">
        <v>1</v>
      </c>
      <c r="G27">
        <v>600</v>
      </c>
      <c r="H27" t="s">
        <v>29</v>
      </c>
      <c r="I27" t="s">
        <v>46</v>
      </c>
      <c r="J27" t="s">
        <v>16</v>
      </c>
      <c r="K27" t="s">
        <v>17</v>
      </c>
    </row>
    <row r="28" spans="1:11" x14ac:dyDescent="0.35">
      <c r="A28" t="s">
        <v>78</v>
      </c>
      <c r="B28" s="1" t="d">
        <v>2025-02-07</v>
      </c>
      <c r="C28" t="s">
        <v>35</v>
      </c>
      <c r="D28" t="s">
        <v>36</v>
      </c>
      <c r="E28">
        <v>20</v>
      </c>
      <c r="F28">
        <v>1</v>
      </c>
      <c r="G28">
        <v>20</v>
      </c>
      <c r="H28" t="s">
        <v>57</v>
      </c>
      <c r="I28" t="s">
        <v>15</v>
      </c>
      <c r="J28" t="s">
        <v>27</v>
      </c>
      <c r="K28" t="s">
        <v>23</v>
      </c>
    </row>
    <row r="29" spans="1:11" x14ac:dyDescent="0.35">
      <c r="A29" t="s">
        <v>79</v>
      </c>
      <c r="B29" s="1" t="d">
        <v>2025-02-03</v>
      </c>
      <c r="C29" t="s">
        <v>19</v>
      </c>
      <c r="D29" t="s">
        <v>20</v>
      </c>
      <c r="E29">
        <v>100</v>
      </c>
      <c r="F29">
        <v>1</v>
      </c>
      <c r="G29">
        <v>100</v>
      </c>
      <c r="H29" t="s">
        <v>80</v>
      </c>
      <c r="I29" t="s">
        <v>81</v>
      </c>
      <c r="J29" t="s">
        <v>27</v>
      </c>
      <c r="K29" t="s">
        <v>40</v>
      </c>
    </row>
    <row r="30" spans="1:11" x14ac:dyDescent="0.35">
      <c r="A30" t="s">
        <v>82</v>
      </c>
      <c r="B30" s="1" t="d">
        <v>2025-02-12</v>
      </c>
      <c r="C30" t="s">
        <v>42</v>
      </c>
      <c r="D30" t="s">
        <v>20</v>
      </c>
      <c r="E30">
        <v>500</v>
      </c>
      <c r="F30">
        <v>1</v>
      </c>
      <c r="G30">
        <v>500</v>
      </c>
      <c r="H30" t="s">
        <v>43</v>
      </c>
      <c r="I30" t="s">
        <v>26</v>
      </c>
      <c r="J30" t="s">
        <v>31</v>
      </c>
      <c r="K30" t="s">
        <v>17</v>
      </c>
    </row>
    <row r="31" spans="1:11" x14ac:dyDescent="0.35">
      <c r="A31" t="s">
        <v>83</v>
      </c>
      <c r="B31" s="1" t="d">
        <v>2025-02-10</v>
      </c>
      <c r="C31" t="s">
        <v>60</v>
      </c>
      <c r="D31" t="s">
        <v>61</v>
      </c>
      <c r="E31">
        <v>600</v>
      </c>
      <c r="F31">
        <v>3</v>
      </c>
      <c r="G31">
        <v>1800</v>
      </c>
      <c r="H31" t="s">
        <v>21</v>
      </c>
      <c r="I31" t="s">
        <v>30</v>
      </c>
      <c r="J31" t="s">
        <v>58</v>
      </c>
      <c r="K31" t="s">
        <v>17</v>
      </c>
    </row>
    <row r="32" spans="1:11" x14ac:dyDescent="0.35">
      <c r="A32" t="s">
        <v>84</v>
      </c>
      <c r="B32" s="1" t="d">
        <v>2025-03-24</v>
      </c>
      <c r="C32" t="s">
        <v>42</v>
      </c>
      <c r="D32" t="s">
        <v>20</v>
      </c>
      <c r="E32">
        <v>500</v>
      </c>
      <c r="F32">
        <v>1</v>
      </c>
      <c r="G32">
        <v>500</v>
      </c>
      <c r="H32" t="s">
        <v>25</v>
      </c>
      <c r="I32" t="s">
        <v>38</v>
      </c>
      <c r="J32" t="s">
        <v>58</v>
      </c>
      <c r="K32" t="s">
        <v>23</v>
      </c>
    </row>
    <row r="33" spans="1:11" x14ac:dyDescent="0.35">
      <c r="A33" t="s">
        <v>85</v>
      </c>
      <c r="B33" s="1" t="d">
        <v>2025-03-10</v>
      </c>
      <c r="C33" t="s">
        <v>42</v>
      </c>
      <c r="D33" t="s">
        <v>20</v>
      </c>
      <c r="E33">
        <v>500</v>
      </c>
      <c r="F33">
        <v>4</v>
      </c>
      <c r="G33">
        <v>2000</v>
      </c>
      <c r="H33" t="s">
        <v>54</v>
      </c>
      <c r="I33" t="s">
        <v>63</v>
      </c>
      <c r="J33" t="s">
        <v>39</v>
      </c>
      <c r="K33" t="s">
        <v>23</v>
      </c>
    </row>
    <row r="34" spans="1:11" x14ac:dyDescent="0.35">
      <c r="A34" t="s">
        <v>86</v>
      </c>
      <c r="B34" s="1" t="d">
        <v>2025-02-04</v>
      </c>
      <c r="C34" t="s">
        <v>49</v>
      </c>
      <c r="D34" t="s">
        <v>50</v>
      </c>
      <c r="E34">
        <v>15</v>
      </c>
      <c r="F34">
        <v>1</v>
      </c>
      <c r="G34">
        <v>15</v>
      </c>
      <c r="H34" t="s">
        <v>29</v>
      </c>
      <c r="I34" t="s">
        <v>15</v>
      </c>
      <c r="J34" t="s">
        <v>16</v>
      </c>
      <c r="K34" t="s">
        <v>17</v>
      </c>
    </row>
    <row r="35" spans="1:11" x14ac:dyDescent="0.35">
      <c r="A35" t="s">
        <v>87</v>
      </c>
      <c r="B35" s="1" t="d">
        <v>2025-04-02</v>
      </c>
      <c r="C35" t="s">
        <v>35</v>
      </c>
      <c r="D35" t="s">
        <v>36</v>
      </c>
      <c r="E35">
        <v>20</v>
      </c>
      <c r="F35">
        <v>5</v>
      </c>
      <c r="G35">
        <v>100</v>
      </c>
      <c r="H35" t="s">
        <v>80</v>
      </c>
      <c r="I35" t="s">
        <v>15</v>
      </c>
      <c r="J35" t="s">
        <v>31</v>
      </c>
      <c r="K35" t="s">
        <v>23</v>
      </c>
    </row>
    <row r="36" spans="1:11" x14ac:dyDescent="0.35">
      <c r="A36" t="s">
        <v>88</v>
      </c>
      <c r="B36" s="1" t="d">
        <v>2025-04-02</v>
      </c>
      <c r="C36" t="s">
        <v>56</v>
      </c>
      <c r="D36" t="s">
        <v>20</v>
      </c>
      <c r="E36">
        <v>800</v>
      </c>
      <c r="F36">
        <v>3</v>
      </c>
      <c r="G36">
        <v>2400</v>
      </c>
      <c r="H36" t="s">
        <v>14</v>
      </c>
      <c r="I36" t="s">
        <v>26</v>
      </c>
      <c r="J36" t="s">
        <v>27</v>
      </c>
      <c r="K36" t="s">
        <v>40</v>
      </c>
    </row>
    <row r="37" spans="1:11" x14ac:dyDescent="0.35">
      <c r="A37" t="s">
        <v>89</v>
      </c>
      <c r="B37" s="1" t="d">
        <v>2025-02-09</v>
      </c>
      <c r="C37" t="s">
        <v>65</v>
      </c>
      <c r="D37" t="s">
        <v>61</v>
      </c>
      <c r="E37">
        <v>1200</v>
      </c>
      <c r="F37">
        <v>2</v>
      </c>
      <c r="G37">
        <v>2400</v>
      </c>
      <c r="H37" t="s">
        <v>43</v>
      </c>
      <c r="I37" t="s">
        <v>46</v>
      </c>
      <c r="J37" t="s">
        <v>39</v>
      </c>
      <c r="K37" t="s">
        <v>17</v>
      </c>
    </row>
    <row r="38" spans="1:11" x14ac:dyDescent="0.35">
      <c r="A38" t="s">
        <v>90</v>
      </c>
      <c r="B38" s="1" t="d">
        <v>2025-02-16</v>
      </c>
      <c r="C38" t="s">
        <v>19</v>
      </c>
      <c r="D38" t="s">
        <v>20</v>
      </c>
      <c r="E38">
        <v>100</v>
      </c>
      <c r="F38">
        <v>3</v>
      </c>
      <c r="G38">
        <v>300</v>
      </c>
      <c r="H38" t="s">
        <v>54</v>
      </c>
      <c r="I38" t="s">
        <v>15</v>
      </c>
      <c r="J38" t="s">
        <v>16</v>
      </c>
      <c r="K38" t="s">
        <v>17</v>
      </c>
    </row>
    <row r="39" spans="1:11" x14ac:dyDescent="0.35">
      <c r="A39" t="s">
        <v>91</v>
      </c>
      <c r="B39" s="1" t="d">
        <v>2025-03-26</v>
      </c>
      <c r="C39" t="s">
        <v>56</v>
      </c>
      <c r="D39" t="s">
        <v>20</v>
      </c>
      <c r="E39">
        <v>800</v>
      </c>
      <c r="F39">
        <v>3</v>
      </c>
      <c r="G39">
        <v>2400</v>
      </c>
      <c r="H39" t="s">
        <v>29</v>
      </c>
      <c r="I39" t="s">
        <v>81</v>
      </c>
      <c r="J39" t="s">
        <v>27</v>
      </c>
      <c r="K39" t="s">
        <v>40</v>
      </c>
    </row>
    <row r="40" spans="1:11" x14ac:dyDescent="0.35">
      <c r="A40" t="s">
        <v>92</v>
      </c>
      <c r="B40" s="1" t="d">
        <v>2025-03-02</v>
      </c>
      <c r="C40" t="s">
        <v>56</v>
      </c>
      <c r="D40" t="s">
        <v>20</v>
      </c>
      <c r="E40">
        <v>800</v>
      </c>
      <c r="F40">
        <v>2</v>
      </c>
      <c r="G40">
        <v>1600</v>
      </c>
      <c r="H40" t="s">
        <v>29</v>
      </c>
      <c r="I40" t="s">
        <v>22</v>
      </c>
      <c r="J40" t="s">
        <v>39</v>
      </c>
      <c r="K40" t="s">
        <v>40</v>
      </c>
    </row>
    <row r="41" spans="1:11" x14ac:dyDescent="0.35">
      <c r="A41" t="s">
        <v>93</v>
      </c>
      <c r="B41" s="1" t="d">
        <v>2025-03-26</v>
      </c>
      <c r="C41" t="s">
        <v>33</v>
      </c>
      <c r="D41" t="s">
        <v>20</v>
      </c>
      <c r="E41">
        <v>150</v>
      </c>
      <c r="F41">
        <v>1</v>
      </c>
      <c r="G41">
        <v>150</v>
      </c>
      <c r="H41" t="s">
        <v>21</v>
      </c>
      <c r="I41" t="s">
        <v>63</v>
      </c>
      <c r="J41" t="s">
        <v>58</v>
      </c>
      <c r="K41" t="s">
        <v>23</v>
      </c>
    </row>
    <row r="42" spans="1:11" x14ac:dyDescent="0.35">
      <c r="A42" t="s">
        <v>94</v>
      </c>
      <c r="B42" s="1" t="d">
        <v>2025-02-20</v>
      </c>
      <c r="C42" t="s">
        <v>49</v>
      </c>
      <c r="D42" t="s">
        <v>50</v>
      </c>
      <c r="E42">
        <v>15</v>
      </c>
      <c r="F42">
        <v>1</v>
      </c>
      <c r="G42">
        <v>15</v>
      </c>
      <c r="H42" t="s">
        <v>80</v>
      </c>
      <c r="I42" t="s">
        <v>44</v>
      </c>
      <c r="J42" t="s">
        <v>31</v>
      </c>
      <c r="K42" t="s">
        <v>17</v>
      </c>
    </row>
    <row r="43" spans="1:11" x14ac:dyDescent="0.35">
      <c r="A43" t="s">
        <v>95</v>
      </c>
      <c r="B43" s="1" t="d">
        <v>2025-03-17</v>
      </c>
      <c r="C43" t="s">
        <v>19</v>
      </c>
      <c r="D43" t="s">
        <v>20</v>
      </c>
      <c r="E43">
        <v>100</v>
      </c>
      <c r="F43">
        <v>3</v>
      </c>
      <c r="G43">
        <v>300</v>
      </c>
      <c r="H43" t="s">
        <v>80</v>
      </c>
      <c r="I43" t="s">
        <v>81</v>
      </c>
      <c r="J43" t="s">
        <v>27</v>
      </c>
      <c r="K43" t="s">
        <v>17</v>
      </c>
    </row>
    <row r="44" spans="1:11" x14ac:dyDescent="0.35">
      <c r="A44" t="s">
        <v>96</v>
      </c>
      <c r="B44" s="1" t="d">
        <v>2025-02-08</v>
      </c>
      <c r="C44" t="s">
        <v>35</v>
      </c>
      <c r="D44" t="s">
        <v>36</v>
      </c>
      <c r="E44">
        <v>20</v>
      </c>
      <c r="F44">
        <v>4</v>
      </c>
      <c r="G44">
        <v>80</v>
      </c>
      <c r="H44" t="s">
        <v>80</v>
      </c>
      <c r="I44" t="s">
        <v>26</v>
      </c>
      <c r="J44" t="s">
        <v>31</v>
      </c>
      <c r="K44" t="s">
        <v>23</v>
      </c>
    </row>
    <row r="45" spans="1:11" x14ac:dyDescent="0.35">
      <c r="A45" t="s">
        <v>97</v>
      </c>
      <c r="B45" s="1" t="d">
        <v>2025-03-24</v>
      </c>
      <c r="C45" t="s">
        <v>33</v>
      </c>
      <c r="D45" t="s">
        <v>20</v>
      </c>
      <c r="E45">
        <v>150</v>
      </c>
      <c r="F45">
        <v>1</v>
      </c>
      <c r="G45">
        <v>150</v>
      </c>
      <c r="H45" t="s">
        <v>72</v>
      </c>
      <c r="I45" t="s">
        <v>38</v>
      </c>
      <c r="J45" t="s">
        <v>16</v>
      </c>
      <c r="K45" t="s">
        <v>23</v>
      </c>
    </row>
    <row r="46" spans="1:11" x14ac:dyDescent="0.35">
      <c r="A46" t="s">
        <v>98</v>
      </c>
      <c r="B46" s="1" t="d">
        <v>2025-03-15</v>
      </c>
      <c r="C46" t="s">
        <v>65</v>
      </c>
      <c r="D46" t="s">
        <v>61</v>
      </c>
      <c r="E46">
        <v>1200</v>
      </c>
      <c r="F46">
        <v>3</v>
      </c>
      <c r="G46">
        <v>3600</v>
      </c>
      <c r="H46" t="s">
        <v>57</v>
      </c>
      <c r="I46" t="s">
        <v>15</v>
      </c>
      <c r="J46" t="s">
        <v>31</v>
      </c>
      <c r="K46" t="s">
        <v>23</v>
      </c>
    </row>
    <row r="47" spans="1:11" x14ac:dyDescent="0.35">
      <c r="A47" t="s">
        <v>99</v>
      </c>
      <c r="B47" s="1" t="d">
        <v>2025-03-06</v>
      </c>
      <c r="C47" t="s">
        <v>12</v>
      </c>
      <c r="D47" t="s">
        <v>13</v>
      </c>
      <c r="E47">
        <v>60</v>
      </c>
      <c r="F47">
        <v>2</v>
      </c>
      <c r="G47">
        <v>120</v>
      </c>
      <c r="H47" t="s">
        <v>51</v>
      </c>
      <c r="I47" t="s">
        <v>38</v>
      </c>
      <c r="J47" t="s">
        <v>16</v>
      </c>
      <c r="K47" t="s">
        <v>17</v>
      </c>
    </row>
    <row r="48" spans="1:11" x14ac:dyDescent="0.35">
      <c r="A48" t="s">
        <v>100</v>
      </c>
      <c r="B48" s="1" t="d">
        <v>2025-03-26</v>
      </c>
      <c r="C48" t="s">
        <v>35</v>
      </c>
      <c r="D48" t="s">
        <v>36</v>
      </c>
      <c r="E48">
        <v>20</v>
      </c>
      <c r="F48">
        <v>2</v>
      </c>
      <c r="G48">
        <v>40</v>
      </c>
      <c r="H48" t="s">
        <v>72</v>
      </c>
      <c r="I48" t="s">
        <v>44</v>
      </c>
      <c r="J48" t="s">
        <v>58</v>
      </c>
      <c r="K48" t="s">
        <v>17</v>
      </c>
    </row>
    <row r="49" spans="1:11" x14ac:dyDescent="0.35">
      <c r="A49" t="s">
        <v>101</v>
      </c>
      <c r="B49" s="1" t="d">
        <v>2025-02-11</v>
      </c>
      <c r="C49" t="s">
        <v>35</v>
      </c>
      <c r="D49" t="s">
        <v>36</v>
      </c>
      <c r="E49">
        <v>20</v>
      </c>
      <c r="F49">
        <v>5</v>
      </c>
      <c r="G49">
        <v>100</v>
      </c>
      <c r="H49" t="s">
        <v>80</v>
      </c>
      <c r="I49" t="s">
        <v>26</v>
      </c>
      <c r="J49" t="s">
        <v>27</v>
      </c>
      <c r="K49" t="s">
        <v>40</v>
      </c>
    </row>
    <row r="50" spans="1:11" x14ac:dyDescent="0.35">
      <c r="A50" t="s">
        <v>102</v>
      </c>
      <c r="B50" s="1" t="d">
        <v>2025-02-18</v>
      </c>
      <c r="C50" t="s">
        <v>42</v>
      </c>
      <c r="D50" t="s">
        <v>20</v>
      </c>
      <c r="E50">
        <v>500</v>
      </c>
      <c r="F50">
        <v>4</v>
      </c>
      <c r="G50">
        <v>2000</v>
      </c>
      <c r="H50" t="s">
        <v>14</v>
      </c>
      <c r="I50" t="s">
        <v>81</v>
      </c>
      <c r="J50" t="s">
        <v>16</v>
      </c>
      <c r="K50" t="s">
        <v>40</v>
      </c>
    </row>
    <row r="51" spans="1:11" x14ac:dyDescent="0.35">
      <c r="A51" t="s">
        <v>103</v>
      </c>
      <c r="B51" s="1" t="d">
        <v>2025-03-14</v>
      </c>
      <c r="C51" t="s">
        <v>53</v>
      </c>
      <c r="D51" t="s">
        <v>36</v>
      </c>
      <c r="E51">
        <v>40</v>
      </c>
      <c r="F51">
        <v>3</v>
      </c>
      <c r="G51">
        <v>120</v>
      </c>
      <c r="H51" t="s">
        <v>25</v>
      </c>
      <c r="I51" t="s">
        <v>46</v>
      </c>
      <c r="J51" t="s">
        <v>58</v>
      </c>
      <c r="K51" t="s">
        <v>40</v>
      </c>
    </row>
    <row r="52" spans="1:11" x14ac:dyDescent="0.35">
      <c r="A52" t="s">
        <v>104</v>
      </c>
      <c r="B52" s="1" t="d">
        <v>2025-02-19</v>
      </c>
      <c r="C52" t="s">
        <v>49</v>
      </c>
      <c r="D52" t="s">
        <v>50</v>
      </c>
      <c r="E52">
        <v>15</v>
      </c>
      <c r="F52">
        <v>1</v>
      </c>
      <c r="G52">
        <v>15</v>
      </c>
      <c r="H52" t="s">
        <v>14</v>
      </c>
      <c r="I52" t="s">
        <v>38</v>
      </c>
      <c r="J52" t="s">
        <v>58</v>
      </c>
      <c r="K52" t="s">
        <v>17</v>
      </c>
    </row>
    <row r="53" spans="1:11" x14ac:dyDescent="0.35">
      <c r="A53" t="s">
        <v>105</v>
      </c>
      <c r="B53" s="1" t="d">
        <v>2025-02-24</v>
      </c>
      <c r="C53" t="s">
        <v>56</v>
      </c>
      <c r="D53" t="s">
        <v>20</v>
      </c>
      <c r="E53">
        <v>800</v>
      </c>
      <c r="F53">
        <v>3</v>
      </c>
      <c r="G53">
        <v>2400</v>
      </c>
      <c r="H53" t="s">
        <v>25</v>
      </c>
      <c r="I53" t="s">
        <v>22</v>
      </c>
      <c r="J53" t="s">
        <v>31</v>
      </c>
      <c r="K53" t="s">
        <v>23</v>
      </c>
    </row>
    <row r="54" spans="1:11" x14ac:dyDescent="0.35">
      <c r="A54" t="s">
        <v>106</v>
      </c>
      <c r="B54" s="1" t="d">
        <v>2025-03-24</v>
      </c>
      <c r="C54" t="s">
        <v>12</v>
      </c>
      <c r="D54" t="s">
        <v>13</v>
      </c>
      <c r="E54">
        <v>60</v>
      </c>
      <c r="F54">
        <v>4</v>
      </c>
      <c r="G54">
        <v>240</v>
      </c>
      <c r="H54" t="s">
        <v>21</v>
      </c>
      <c r="I54" t="s">
        <v>68</v>
      </c>
      <c r="J54" t="s">
        <v>39</v>
      </c>
      <c r="K54" t="s">
        <v>40</v>
      </c>
    </row>
    <row r="55" spans="1:11" x14ac:dyDescent="0.35">
      <c r="A55" t="s">
        <v>107</v>
      </c>
      <c r="B55" s="1" t="d">
        <v>2025-03-15</v>
      </c>
      <c r="C55" t="s">
        <v>33</v>
      </c>
      <c r="D55" t="s">
        <v>20</v>
      </c>
      <c r="E55">
        <v>150</v>
      </c>
      <c r="F55">
        <v>3</v>
      </c>
      <c r="G55">
        <v>450</v>
      </c>
      <c r="H55" t="s">
        <v>51</v>
      </c>
      <c r="I55" t="s">
        <v>46</v>
      </c>
      <c r="J55" t="s">
        <v>58</v>
      </c>
      <c r="K55" t="s">
        <v>23</v>
      </c>
    </row>
    <row r="56" spans="1:11" x14ac:dyDescent="0.35">
      <c r="A56" t="s">
        <v>108</v>
      </c>
      <c r="B56" s="1" t="d">
        <v>2025-03-15</v>
      </c>
      <c r="C56" t="s">
        <v>53</v>
      </c>
      <c r="D56" t="s">
        <v>36</v>
      </c>
      <c r="E56">
        <v>40</v>
      </c>
      <c r="F56">
        <v>2</v>
      </c>
      <c r="G56">
        <v>80</v>
      </c>
      <c r="H56" t="s">
        <v>43</v>
      </c>
      <c r="I56" t="s">
        <v>30</v>
      </c>
      <c r="J56" t="s">
        <v>39</v>
      </c>
      <c r="K56" t="s">
        <v>40</v>
      </c>
    </row>
    <row r="57" spans="1:11" x14ac:dyDescent="0.35">
      <c r="A57" t="s">
        <v>109</v>
      </c>
      <c r="B57" s="1" t="d">
        <v>2025-03-19</v>
      </c>
      <c r="C57" t="s">
        <v>33</v>
      </c>
      <c r="D57" t="s">
        <v>20</v>
      </c>
      <c r="E57">
        <v>150</v>
      </c>
      <c r="F57">
        <v>2</v>
      </c>
      <c r="G57">
        <v>300</v>
      </c>
      <c r="H57" t="s">
        <v>14</v>
      </c>
      <c r="I57" t="s">
        <v>30</v>
      </c>
      <c r="J57" t="s">
        <v>31</v>
      </c>
      <c r="K57" t="s">
        <v>40</v>
      </c>
    </row>
    <row r="58" spans="1:11" x14ac:dyDescent="0.35">
      <c r="A58" t="s">
        <v>110</v>
      </c>
      <c r="B58" s="1" t="d">
        <v>2025-03-15</v>
      </c>
      <c r="C58" t="s">
        <v>42</v>
      </c>
      <c r="D58" t="s">
        <v>20</v>
      </c>
      <c r="E58">
        <v>500</v>
      </c>
      <c r="F58">
        <v>1</v>
      </c>
      <c r="G58">
        <v>500</v>
      </c>
      <c r="H58" t="s">
        <v>80</v>
      </c>
      <c r="I58" t="s">
        <v>68</v>
      </c>
      <c r="J58" t="s">
        <v>16</v>
      </c>
      <c r="K58" t="s">
        <v>17</v>
      </c>
    </row>
    <row r="59" spans="1:11" x14ac:dyDescent="0.35">
      <c r="A59" t="s">
        <v>111</v>
      </c>
      <c r="B59" s="1" t="d">
        <v>2025-03-13</v>
      </c>
      <c r="C59" t="s">
        <v>42</v>
      </c>
      <c r="D59" t="s">
        <v>20</v>
      </c>
      <c r="E59">
        <v>500</v>
      </c>
      <c r="F59">
        <v>1</v>
      </c>
      <c r="G59">
        <v>500</v>
      </c>
      <c r="H59" t="s">
        <v>80</v>
      </c>
      <c r="I59" t="s">
        <v>81</v>
      </c>
      <c r="J59" t="s">
        <v>39</v>
      </c>
      <c r="K59" t="s">
        <v>17</v>
      </c>
    </row>
    <row r="60" spans="1:11" x14ac:dyDescent="0.35">
      <c r="A60" t="s">
        <v>112</v>
      </c>
      <c r="B60" s="1" t="d">
        <v>2025-04-01</v>
      </c>
      <c r="C60" t="s">
        <v>33</v>
      </c>
      <c r="D60" t="s">
        <v>20</v>
      </c>
      <c r="E60">
        <v>150</v>
      </c>
      <c r="F60">
        <v>2</v>
      </c>
      <c r="G60">
        <v>300</v>
      </c>
      <c r="H60" t="s">
        <v>57</v>
      </c>
      <c r="I60" t="s">
        <v>30</v>
      </c>
      <c r="J60" t="s">
        <v>31</v>
      </c>
      <c r="K60" t="s">
        <v>17</v>
      </c>
    </row>
    <row r="61" spans="1:11" x14ac:dyDescent="0.35">
      <c r="A61" t="s">
        <v>113</v>
      </c>
      <c r="B61" s="1" t="d">
        <v>2025-03-12</v>
      </c>
      <c r="C61" t="s">
        <v>49</v>
      </c>
      <c r="D61" t="s">
        <v>50</v>
      </c>
      <c r="E61">
        <v>15</v>
      </c>
      <c r="F61">
        <v>5</v>
      </c>
      <c r="G61">
        <v>75</v>
      </c>
      <c r="H61" t="s">
        <v>80</v>
      </c>
      <c r="I61" t="s">
        <v>30</v>
      </c>
      <c r="J61" t="s">
        <v>31</v>
      </c>
      <c r="K61" t="s">
        <v>23</v>
      </c>
    </row>
    <row r="62" spans="1:11" x14ac:dyDescent="0.35">
      <c r="A62" t="s">
        <v>114</v>
      </c>
      <c r="B62" s="1" t="d">
        <v>2025-03-11</v>
      </c>
      <c r="C62" t="s">
        <v>65</v>
      </c>
      <c r="D62" t="s">
        <v>61</v>
      </c>
      <c r="E62">
        <v>1200</v>
      </c>
      <c r="F62">
        <v>1</v>
      </c>
      <c r="G62">
        <v>1200</v>
      </c>
      <c r="H62" t="s">
        <v>80</v>
      </c>
      <c r="I62" t="s">
        <v>15</v>
      </c>
      <c r="J62" t="s">
        <v>39</v>
      </c>
      <c r="K62" t="s">
        <v>17</v>
      </c>
    </row>
    <row r="63" spans="1:11" x14ac:dyDescent="0.35">
      <c r="A63" t="s">
        <v>115</v>
      </c>
      <c r="B63" s="1" t="d">
        <v>2025-02-10</v>
      </c>
      <c r="C63" t="s">
        <v>56</v>
      </c>
      <c r="D63" t="s">
        <v>20</v>
      </c>
      <c r="E63">
        <v>800</v>
      </c>
      <c r="F63">
        <v>5</v>
      </c>
      <c r="G63">
        <v>4000</v>
      </c>
      <c r="H63" t="s">
        <v>29</v>
      </c>
      <c r="I63" t="s">
        <v>22</v>
      </c>
      <c r="J63" t="s">
        <v>39</v>
      </c>
      <c r="K63" t="s">
        <v>40</v>
      </c>
    </row>
    <row r="64" spans="1:11" x14ac:dyDescent="0.35">
      <c r="A64" t="s">
        <v>116</v>
      </c>
      <c r="B64" s="1" t="d">
        <v>2025-03-30</v>
      </c>
      <c r="C64" t="s">
        <v>42</v>
      </c>
      <c r="D64" t="s">
        <v>20</v>
      </c>
      <c r="E64">
        <v>500</v>
      </c>
      <c r="F64">
        <v>5</v>
      </c>
      <c r="G64">
        <v>2500</v>
      </c>
      <c r="H64" t="s">
        <v>14</v>
      </c>
      <c r="I64" t="s">
        <v>44</v>
      </c>
      <c r="J64" t="s">
        <v>58</v>
      </c>
      <c r="K64" t="s">
        <v>40</v>
      </c>
    </row>
    <row r="65" spans="1:11" x14ac:dyDescent="0.35">
      <c r="A65" t="s">
        <v>117</v>
      </c>
      <c r="B65" s="1" t="d">
        <v>2025-02-13</v>
      </c>
      <c r="C65" t="s">
        <v>65</v>
      </c>
      <c r="D65" t="s">
        <v>61</v>
      </c>
      <c r="E65">
        <v>1200</v>
      </c>
      <c r="F65">
        <v>4</v>
      </c>
      <c r="G65">
        <v>4800</v>
      </c>
      <c r="H65" t="s">
        <v>21</v>
      </c>
      <c r="I65" t="s">
        <v>26</v>
      </c>
      <c r="J65" t="s">
        <v>39</v>
      </c>
      <c r="K65" t="s">
        <v>23</v>
      </c>
    </row>
    <row r="66" spans="1:11" x14ac:dyDescent="0.35">
      <c r="A66" t="s">
        <v>118</v>
      </c>
      <c r="B66" s="1" t="d">
        <v>2025-03-16</v>
      </c>
      <c r="C66" t="s">
        <v>49</v>
      </c>
      <c r="D66" t="s">
        <v>50</v>
      </c>
      <c r="E66">
        <v>15</v>
      </c>
      <c r="F66">
        <v>3</v>
      </c>
      <c r="G66">
        <v>45</v>
      </c>
      <c r="H66" t="s">
        <v>14</v>
      </c>
      <c r="I66" t="s">
        <v>22</v>
      </c>
      <c r="J66" t="s">
        <v>27</v>
      </c>
      <c r="K66" t="s">
        <v>23</v>
      </c>
    </row>
    <row r="67" spans="1:11" x14ac:dyDescent="0.35">
      <c r="A67" t="s">
        <v>119</v>
      </c>
      <c r="B67" s="1" t="d">
        <v>2025-03-14</v>
      </c>
      <c r="C67" t="s">
        <v>33</v>
      </c>
      <c r="D67" t="s">
        <v>20</v>
      </c>
      <c r="E67">
        <v>150</v>
      </c>
      <c r="F67">
        <v>2</v>
      </c>
      <c r="G67">
        <v>300</v>
      </c>
      <c r="H67" t="s">
        <v>54</v>
      </c>
      <c r="I67" t="s">
        <v>26</v>
      </c>
      <c r="J67" t="s">
        <v>39</v>
      </c>
      <c r="K67" t="s">
        <v>23</v>
      </c>
    </row>
    <row r="68" spans="1:11" x14ac:dyDescent="0.35">
      <c r="A68" t="s">
        <v>120</v>
      </c>
      <c r="B68" s="1" t="d">
        <v>2025-03-31</v>
      </c>
      <c r="C68" t="s">
        <v>19</v>
      </c>
      <c r="D68" t="s">
        <v>20</v>
      </c>
      <c r="E68">
        <v>100</v>
      </c>
      <c r="F68">
        <v>3</v>
      </c>
      <c r="G68">
        <v>300</v>
      </c>
      <c r="H68" t="s">
        <v>72</v>
      </c>
      <c r="I68" t="s">
        <v>15</v>
      </c>
      <c r="J68" t="s">
        <v>16</v>
      </c>
      <c r="K68" t="s">
        <v>23</v>
      </c>
    </row>
    <row r="69" spans="1:11" x14ac:dyDescent="0.35">
      <c r="A69" t="s">
        <v>121</v>
      </c>
      <c r="B69" s="1" t="d">
        <v>2025-02-23</v>
      </c>
      <c r="C69" t="s">
        <v>19</v>
      </c>
      <c r="D69" t="s">
        <v>20</v>
      </c>
      <c r="E69">
        <v>100</v>
      </c>
      <c r="F69">
        <v>1</v>
      </c>
      <c r="G69">
        <v>100</v>
      </c>
      <c r="H69" t="s">
        <v>51</v>
      </c>
      <c r="I69" t="s">
        <v>38</v>
      </c>
      <c r="J69" t="s">
        <v>16</v>
      </c>
      <c r="K69" t="s">
        <v>17</v>
      </c>
    </row>
    <row r="70" spans="1:11" x14ac:dyDescent="0.35">
      <c r="A70" t="s">
        <v>122</v>
      </c>
      <c r="B70" s="1" t="d">
        <v>2025-02-25</v>
      </c>
      <c r="C70" t="s">
        <v>65</v>
      </c>
      <c r="D70" t="s">
        <v>61</v>
      </c>
      <c r="E70">
        <v>1200</v>
      </c>
      <c r="F70">
        <v>4</v>
      </c>
      <c r="G70">
        <v>4800</v>
      </c>
      <c r="H70" t="s">
        <v>51</v>
      </c>
      <c r="I70" t="s">
        <v>46</v>
      </c>
      <c r="J70" t="s">
        <v>58</v>
      </c>
      <c r="K70" t="s">
        <v>23</v>
      </c>
    </row>
    <row r="71" spans="1:11" x14ac:dyDescent="0.35">
      <c r="A71" t="s">
        <v>123</v>
      </c>
      <c r="B71" s="1" t="d">
        <v>2025-03-10</v>
      </c>
      <c r="C71" t="s">
        <v>49</v>
      </c>
      <c r="D71" t="s">
        <v>50</v>
      </c>
      <c r="E71">
        <v>15</v>
      </c>
      <c r="F71">
        <v>1</v>
      </c>
      <c r="G71">
        <v>15</v>
      </c>
      <c r="H71" t="s">
        <v>21</v>
      </c>
      <c r="I71" t="s">
        <v>46</v>
      </c>
      <c r="J71" t="s">
        <v>31</v>
      </c>
      <c r="K71" t="s">
        <v>40</v>
      </c>
    </row>
    <row r="72" spans="1:11" x14ac:dyDescent="0.35">
      <c r="A72" t="s">
        <v>124</v>
      </c>
      <c r="B72" s="1" t="d">
        <v>2025-03-16</v>
      </c>
      <c r="C72" t="s">
        <v>33</v>
      </c>
      <c r="D72" t="s">
        <v>20</v>
      </c>
      <c r="E72">
        <v>150</v>
      </c>
      <c r="F72">
        <v>5</v>
      </c>
      <c r="G72">
        <v>750</v>
      </c>
      <c r="H72" t="s">
        <v>25</v>
      </c>
      <c r="I72" t="s">
        <v>26</v>
      </c>
      <c r="J72" t="s">
        <v>31</v>
      </c>
      <c r="K72" t="s">
        <v>23</v>
      </c>
    </row>
    <row r="73" spans="1:11" x14ac:dyDescent="0.35">
      <c r="A73" t="s">
        <v>125</v>
      </c>
      <c r="B73" s="1" t="d">
        <v>2025-03-07</v>
      </c>
      <c r="C73" t="s">
        <v>56</v>
      </c>
      <c r="D73" t="s">
        <v>20</v>
      </c>
      <c r="E73">
        <v>800</v>
      </c>
      <c r="F73">
        <v>3</v>
      </c>
      <c r="G73">
        <v>2400</v>
      </c>
      <c r="H73" t="s">
        <v>57</v>
      </c>
      <c r="I73" t="s">
        <v>38</v>
      </c>
      <c r="J73" t="s">
        <v>31</v>
      </c>
      <c r="K73" t="s">
        <v>23</v>
      </c>
    </row>
    <row r="74" spans="1:11" x14ac:dyDescent="0.35">
      <c r="A74" t="s">
        <v>126</v>
      </c>
      <c r="B74" s="1" t="d">
        <v>2025-02-20</v>
      </c>
      <c r="C74" t="s">
        <v>42</v>
      </c>
      <c r="D74" t="s">
        <v>20</v>
      </c>
      <c r="E74">
        <v>500</v>
      </c>
      <c r="F74">
        <v>5</v>
      </c>
      <c r="G74">
        <v>2500</v>
      </c>
      <c r="H74" t="s">
        <v>21</v>
      </c>
      <c r="I74" t="s">
        <v>44</v>
      </c>
      <c r="J74" t="s">
        <v>31</v>
      </c>
      <c r="K74" t="s">
        <v>17</v>
      </c>
    </row>
    <row r="75" spans="1:11" x14ac:dyDescent="0.35">
      <c r="A75" t="s">
        <v>127</v>
      </c>
      <c r="B75" s="1" t="d">
        <v>2025-03-25</v>
      </c>
      <c r="C75" t="s">
        <v>65</v>
      </c>
      <c r="D75" t="s">
        <v>61</v>
      </c>
      <c r="E75">
        <v>1200</v>
      </c>
      <c r="F75">
        <v>4</v>
      </c>
      <c r="G75">
        <v>4800</v>
      </c>
      <c r="H75" t="s">
        <v>80</v>
      </c>
      <c r="I75" t="s">
        <v>30</v>
      </c>
      <c r="J75" t="s">
        <v>58</v>
      </c>
      <c r="K75" t="s">
        <v>17</v>
      </c>
    </row>
    <row r="76" spans="1:11" x14ac:dyDescent="0.35">
      <c r="A76" t="s">
        <v>128</v>
      </c>
      <c r="B76" s="1" t="d">
        <v>2025-02-26</v>
      </c>
      <c r="C76" t="s">
        <v>19</v>
      </c>
      <c r="D76" t="s">
        <v>20</v>
      </c>
      <c r="E76">
        <v>100</v>
      </c>
      <c r="F76">
        <v>2</v>
      </c>
      <c r="G76">
        <v>200</v>
      </c>
      <c r="H76" t="s">
        <v>57</v>
      </c>
      <c r="I76" t="s">
        <v>46</v>
      </c>
      <c r="J76" t="s">
        <v>39</v>
      </c>
      <c r="K76" t="s">
        <v>23</v>
      </c>
    </row>
    <row r="77" spans="1:11" x14ac:dyDescent="0.35">
      <c r="A77" t="s">
        <v>129</v>
      </c>
      <c r="B77" s="1" t="d">
        <v>2025-02-24</v>
      </c>
      <c r="C77" t="s">
        <v>60</v>
      </c>
      <c r="D77" t="s">
        <v>61</v>
      </c>
      <c r="E77">
        <v>600</v>
      </c>
      <c r="F77">
        <v>1</v>
      </c>
      <c r="G77">
        <v>600</v>
      </c>
      <c r="H77" t="s">
        <v>80</v>
      </c>
      <c r="I77" t="s">
        <v>30</v>
      </c>
      <c r="J77" t="s">
        <v>27</v>
      </c>
      <c r="K77" t="s">
        <v>40</v>
      </c>
    </row>
    <row r="78" spans="1:11" x14ac:dyDescent="0.35">
      <c r="A78" t="s">
        <v>130</v>
      </c>
      <c r="B78" s="1" t="d">
        <v>2025-03-20</v>
      </c>
      <c r="C78" t="s">
        <v>19</v>
      </c>
      <c r="D78" t="s">
        <v>20</v>
      </c>
      <c r="E78">
        <v>100</v>
      </c>
      <c r="F78">
        <v>2</v>
      </c>
      <c r="G78">
        <v>200</v>
      </c>
      <c r="H78" t="s">
        <v>57</v>
      </c>
      <c r="I78" t="s">
        <v>38</v>
      </c>
      <c r="J78" t="s">
        <v>31</v>
      </c>
      <c r="K78" t="s">
        <v>40</v>
      </c>
    </row>
    <row r="79" spans="1:11" x14ac:dyDescent="0.35">
      <c r="A79" t="s">
        <v>131</v>
      </c>
      <c r="B79" s="1" t="d">
        <v>2025-03-18</v>
      </c>
      <c r="C79" t="s">
        <v>33</v>
      </c>
      <c r="D79" t="s">
        <v>20</v>
      </c>
      <c r="E79">
        <v>150</v>
      </c>
      <c r="F79">
        <v>2</v>
      </c>
      <c r="G79">
        <v>300</v>
      </c>
      <c r="H79" t="s">
        <v>14</v>
      </c>
      <c r="I79" t="s">
        <v>68</v>
      </c>
      <c r="J79" t="s">
        <v>58</v>
      </c>
      <c r="K79" t="s">
        <v>17</v>
      </c>
    </row>
    <row r="80" spans="1:11" x14ac:dyDescent="0.35">
      <c r="A80" t="s">
        <v>132</v>
      </c>
      <c r="B80" s="1" t="d">
        <v>2025-03-09</v>
      </c>
      <c r="C80" t="s">
        <v>12</v>
      </c>
      <c r="D80" t="s">
        <v>13</v>
      </c>
      <c r="E80">
        <v>60</v>
      </c>
      <c r="F80">
        <v>2</v>
      </c>
      <c r="G80">
        <v>120</v>
      </c>
      <c r="H80" t="s">
        <v>21</v>
      </c>
      <c r="I80" t="s">
        <v>26</v>
      </c>
      <c r="J80" t="s">
        <v>58</v>
      </c>
      <c r="K80" t="s">
        <v>17</v>
      </c>
    </row>
    <row r="81" spans="1:11" x14ac:dyDescent="0.35">
      <c r="A81" t="s">
        <v>133</v>
      </c>
      <c r="B81" s="1" t="d">
        <v>2025-02-23</v>
      </c>
      <c r="C81" t="s">
        <v>12</v>
      </c>
      <c r="D81" t="s">
        <v>13</v>
      </c>
      <c r="E81">
        <v>60</v>
      </c>
      <c r="F81">
        <v>4</v>
      </c>
      <c r="G81">
        <v>240</v>
      </c>
      <c r="H81" t="s">
        <v>43</v>
      </c>
      <c r="I81" t="s">
        <v>22</v>
      </c>
      <c r="J81" t="s">
        <v>16</v>
      </c>
      <c r="K81" t="s">
        <v>23</v>
      </c>
    </row>
    <row r="82" spans="1:11" x14ac:dyDescent="0.35">
      <c r="A82" t="s">
        <v>134</v>
      </c>
      <c r="B82" s="1" t="d">
        <v>2025-02-26</v>
      </c>
      <c r="C82" t="s">
        <v>19</v>
      </c>
      <c r="D82" t="s">
        <v>20</v>
      </c>
      <c r="E82">
        <v>100</v>
      </c>
      <c r="F82">
        <v>3</v>
      </c>
      <c r="G82">
        <v>300</v>
      </c>
      <c r="H82" t="s">
        <v>54</v>
      </c>
      <c r="I82" t="s">
        <v>81</v>
      </c>
      <c r="J82" t="s">
        <v>39</v>
      </c>
      <c r="K82" t="s">
        <v>17</v>
      </c>
    </row>
    <row r="83" spans="1:11" x14ac:dyDescent="0.35">
      <c r="A83" t="s">
        <v>135</v>
      </c>
      <c r="B83" s="1" t="d">
        <v>2025-02-24</v>
      </c>
      <c r="C83" t="s">
        <v>42</v>
      </c>
      <c r="D83" t="s">
        <v>20</v>
      </c>
      <c r="E83">
        <v>500</v>
      </c>
      <c r="F83">
        <v>3</v>
      </c>
      <c r="G83">
        <v>1500</v>
      </c>
      <c r="H83" t="s">
        <v>80</v>
      </c>
      <c r="I83" t="s">
        <v>63</v>
      </c>
      <c r="J83" t="s">
        <v>16</v>
      </c>
      <c r="K83" t="s">
        <v>17</v>
      </c>
    </row>
    <row r="84" spans="1:11" x14ac:dyDescent="0.35">
      <c r="A84" t="s">
        <v>136</v>
      </c>
      <c r="B84" s="1" t="d">
        <v>2025-02-28</v>
      </c>
      <c r="C84" t="s">
        <v>60</v>
      </c>
      <c r="D84" t="s">
        <v>61</v>
      </c>
      <c r="E84">
        <v>600</v>
      </c>
      <c r="F84">
        <v>4</v>
      </c>
      <c r="G84">
        <v>2400</v>
      </c>
      <c r="H84" t="s">
        <v>14</v>
      </c>
      <c r="I84" t="s">
        <v>38</v>
      </c>
      <c r="J84" t="s">
        <v>58</v>
      </c>
      <c r="K84" t="s">
        <v>17</v>
      </c>
    </row>
    <row r="85" spans="1:11" x14ac:dyDescent="0.35">
      <c r="A85" t="s">
        <v>137</v>
      </c>
      <c r="B85" s="1" t="d">
        <v>2025-02-14</v>
      </c>
      <c r="C85" t="s">
        <v>35</v>
      </c>
      <c r="D85" t="s">
        <v>36</v>
      </c>
      <c r="E85">
        <v>20</v>
      </c>
      <c r="F85">
        <v>5</v>
      </c>
      <c r="G85">
        <v>100</v>
      </c>
      <c r="H85" t="s">
        <v>29</v>
      </c>
      <c r="I85" t="s">
        <v>46</v>
      </c>
      <c r="J85" t="s">
        <v>39</v>
      </c>
      <c r="K85" t="s">
        <v>40</v>
      </c>
    </row>
    <row r="86" spans="1:11" x14ac:dyDescent="0.35">
      <c r="A86" t="s">
        <v>138</v>
      </c>
      <c r="B86" s="1" t="d">
        <v>2025-02-06</v>
      </c>
      <c r="C86" t="s">
        <v>42</v>
      </c>
      <c r="D86" t="s">
        <v>20</v>
      </c>
      <c r="E86">
        <v>500</v>
      </c>
      <c r="F86">
        <v>5</v>
      </c>
      <c r="G86">
        <v>2500</v>
      </c>
      <c r="H86" t="s">
        <v>54</v>
      </c>
      <c r="I86" t="s">
        <v>38</v>
      </c>
      <c r="J86" t="s">
        <v>39</v>
      </c>
      <c r="K86" t="s">
        <v>40</v>
      </c>
    </row>
    <row r="87" spans="1:11" x14ac:dyDescent="0.35">
      <c r="A87" t="s">
        <v>139</v>
      </c>
      <c r="B87" s="1" t="d">
        <v>2025-02-25</v>
      </c>
      <c r="C87" t="s">
        <v>33</v>
      </c>
      <c r="D87" t="s">
        <v>20</v>
      </c>
      <c r="E87">
        <v>150</v>
      </c>
      <c r="F87">
        <v>5</v>
      </c>
      <c r="G87">
        <v>750</v>
      </c>
      <c r="H87" t="s">
        <v>80</v>
      </c>
      <c r="I87" t="s">
        <v>30</v>
      </c>
      <c r="J87" t="s">
        <v>39</v>
      </c>
      <c r="K87" t="s">
        <v>17</v>
      </c>
    </row>
    <row r="88" spans="1:11" x14ac:dyDescent="0.35">
      <c r="A88" t="s">
        <v>140</v>
      </c>
      <c r="B88" s="1" t="d">
        <v>2025-03-13</v>
      </c>
      <c r="C88" t="s">
        <v>12</v>
      </c>
      <c r="D88" t="s">
        <v>13</v>
      </c>
      <c r="E88">
        <v>60</v>
      </c>
      <c r="F88">
        <v>5</v>
      </c>
      <c r="G88">
        <v>300</v>
      </c>
      <c r="H88" t="s">
        <v>14</v>
      </c>
      <c r="I88" t="s">
        <v>44</v>
      </c>
      <c r="J88" t="s">
        <v>16</v>
      </c>
      <c r="K88" t="s">
        <v>40</v>
      </c>
    </row>
    <row r="89" spans="1:11" x14ac:dyDescent="0.35">
      <c r="A89" t="s">
        <v>141</v>
      </c>
      <c r="B89" s="1" t="d">
        <v>2025-02-06</v>
      </c>
      <c r="C89" t="s">
        <v>65</v>
      </c>
      <c r="D89" t="s">
        <v>61</v>
      </c>
      <c r="E89">
        <v>1200</v>
      </c>
      <c r="F89">
        <v>2</v>
      </c>
      <c r="G89">
        <v>2400</v>
      </c>
      <c r="H89" t="s">
        <v>72</v>
      </c>
      <c r="I89" t="s">
        <v>63</v>
      </c>
      <c r="J89" t="s">
        <v>16</v>
      </c>
      <c r="K89" t="s">
        <v>23</v>
      </c>
    </row>
    <row r="90" spans="1:11" x14ac:dyDescent="0.35">
      <c r="A90" t="s">
        <v>142</v>
      </c>
      <c r="B90" s="1" t="d">
        <v>2025-03-26</v>
      </c>
      <c r="C90" t="s">
        <v>12</v>
      </c>
      <c r="D90" t="s">
        <v>13</v>
      </c>
      <c r="E90">
        <v>60</v>
      </c>
      <c r="F90">
        <v>5</v>
      </c>
      <c r="G90">
        <v>300</v>
      </c>
      <c r="H90" t="s">
        <v>14</v>
      </c>
      <c r="I90" t="s">
        <v>68</v>
      </c>
      <c r="J90" t="s">
        <v>31</v>
      </c>
      <c r="K90" t="s">
        <v>17</v>
      </c>
    </row>
    <row r="91" spans="1:11" x14ac:dyDescent="0.35">
      <c r="A91" t="s">
        <v>143</v>
      </c>
      <c r="B91" s="1" t="d">
        <v>2025-03-24</v>
      </c>
      <c r="C91" t="s">
        <v>33</v>
      </c>
      <c r="D91" t="s">
        <v>20</v>
      </c>
      <c r="E91">
        <v>150</v>
      </c>
      <c r="F91">
        <v>5</v>
      </c>
      <c r="G91">
        <v>750</v>
      </c>
      <c r="H91" t="s">
        <v>21</v>
      </c>
      <c r="I91" t="s">
        <v>38</v>
      </c>
      <c r="J91" t="s">
        <v>27</v>
      </c>
      <c r="K91" t="s">
        <v>40</v>
      </c>
    </row>
    <row r="92" spans="1:11" x14ac:dyDescent="0.35">
      <c r="A92" t="s">
        <v>144</v>
      </c>
      <c r="B92" s="1" t="d">
        <v>2025-02-03</v>
      </c>
      <c r="C92" t="s">
        <v>56</v>
      </c>
      <c r="D92" t="s">
        <v>20</v>
      </c>
      <c r="E92">
        <v>800</v>
      </c>
      <c r="F92">
        <v>4</v>
      </c>
      <c r="G92">
        <v>3200</v>
      </c>
      <c r="H92" t="s">
        <v>57</v>
      </c>
      <c r="I92" t="s">
        <v>38</v>
      </c>
      <c r="J92" t="s">
        <v>58</v>
      </c>
      <c r="K92" t="s">
        <v>23</v>
      </c>
    </row>
    <row r="93" spans="1:11" x14ac:dyDescent="0.35">
      <c r="A93" t="s">
        <v>145</v>
      </c>
      <c r="B93" s="1" t="d">
        <v>2025-03-15</v>
      </c>
      <c r="C93" t="s">
        <v>42</v>
      </c>
      <c r="D93" t="s">
        <v>20</v>
      </c>
      <c r="E93">
        <v>500</v>
      </c>
      <c r="F93">
        <v>2</v>
      </c>
      <c r="G93">
        <v>1000</v>
      </c>
      <c r="H93" t="s">
        <v>29</v>
      </c>
      <c r="I93" t="s">
        <v>46</v>
      </c>
      <c r="J93" t="s">
        <v>39</v>
      </c>
      <c r="K93" t="s">
        <v>17</v>
      </c>
    </row>
    <row r="94" spans="1:11" x14ac:dyDescent="0.35">
      <c r="A94" t="s">
        <v>146</v>
      </c>
      <c r="B94" s="1" t="d">
        <v>2025-03-06</v>
      </c>
      <c r="C94" t="s">
        <v>65</v>
      </c>
      <c r="D94" t="s">
        <v>61</v>
      </c>
      <c r="E94">
        <v>1200</v>
      </c>
      <c r="F94">
        <v>5</v>
      </c>
      <c r="G94">
        <v>6000</v>
      </c>
      <c r="H94" t="s">
        <v>51</v>
      </c>
      <c r="I94" t="s">
        <v>26</v>
      </c>
      <c r="J94" t="s">
        <v>39</v>
      </c>
      <c r="K94" t="s">
        <v>17</v>
      </c>
    </row>
    <row r="95" spans="1:11" x14ac:dyDescent="0.35">
      <c r="A95" t="s">
        <v>147</v>
      </c>
      <c r="B95" s="1" t="d">
        <v>2025-03-25</v>
      </c>
      <c r="C95" t="s">
        <v>53</v>
      </c>
      <c r="D95" t="s">
        <v>36</v>
      </c>
      <c r="E95">
        <v>40</v>
      </c>
      <c r="F95">
        <v>5</v>
      </c>
      <c r="G95">
        <v>200</v>
      </c>
      <c r="H95" t="s">
        <v>57</v>
      </c>
      <c r="I95" t="s">
        <v>63</v>
      </c>
      <c r="J95" t="s">
        <v>31</v>
      </c>
      <c r="K95" t="s">
        <v>17</v>
      </c>
    </row>
    <row r="96" spans="1:11" x14ac:dyDescent="0.35">
      <c r="A96" t="s">
        <v>148</v>
      </c>
      <c r="B96" s="1" t="d">
        <v>2025-02-17</v>
      </c>
      <c r="C96" t="s">
        <v>33</v>
      </c>
      <c r="D96" t="s">
        <v>20</v>
      </c>
      <c r="E96">
        <v>150</v>
      </c>
      <c r="F96">
        <v>4</v>
      </c>
      <c r="G96">
        <v>600</v>
      </c>
      <c r="H96" t="s">
        <v>72</v>
      </c>
      <c r="I96" t="s">
        <v>15</v>
      </c>
      <c r="J96" t="s">
        <v>16</v>
      </c>
      <c r="K96" t="s">
        <v>17</v>
      </c>
    </row>
    <row r="97" spans="1:11" x14ac:dyDescent="0.35">
      <c r="A97" t="s">
        <v>149</v>
      </c>
      <c r="B97" s="1" t="d">
        <v>2025-03-30</v>
      </c>
      <c r="C97" t="s">
        <v>33</v>
      </c>
      <c r="D97" t="s">
        <v>20</v>
      </c>
      <c r="E97">
        <v>150</v>
      </c>
      <c r="F97">
        <v>3</v>
      </c>
      <c r="G97">
        <v>450</v>
      </c>
      <c r="H97" t="s">
        <v>80</v>
      </c>
      <c r="I97" t="s">
        <v>15</v>
      </c>
      <c r="J97" t="s">
        <v>27</v>
      </c>
      <c r="K97" t="s">
        <v>40</v>
      </c>
    </row>
    <row r="98" spans="1:11" x14ac:dyDescent="0.35">
      <c r="A98" t="s">
        <v>150</v>
      </c>
      <c r="B98" s="1" t="d">
        <v>2025-03-25</v>
      </c>
      <c r="C98" t="s">
        <v>49</v>
      </c>
      <c r="D98" t="s">
        <v>50</v>
      </c>
      <c r="E98">
        <v>15</v>
      </c>
      <c r="F98">
        <v>5</v>
      </c>
      <c r="G98">
        <v>75</v>
      </c>
      <c r="H98" t="s">
        <v>29</v>
      </c>
      <c r="I98" t="s">
        <v>81</v>
      </c>
      <c r="J98" t="s">
        <v>27</v>
      </c>
      <c r="K98" t="s">
        <v>23</v>
      </c>
    </row>
    <row r="99" spans="1:11" x14ac:dyDescent="0.35">
      <c r="A99" t="s">
        <v>151</v>
      </c>
      <c r="B99" s="1" t="d">
        <v>2025-02-14</v>
      </c>
      <c r="C99" t="s">
        <v>33</v>
      </c>
      <c r="D99" t="s">
        <v>20</v>
      </c>
      <c r="E99">
        <v>150</v>
      </c>
      <c r="F99">
        <v>2</v>
      </c>
      <c r="G99">
        <v>300</v>
      </c>
      <c r="H99" t="s">
        <v>72</v>
      </c>
      <c r="I99" t="s">
        <v>44</v>
      </c>
      <c r="J99" t="s">
        <v>39</v>
      </c>
      <c r="K99" t="s">
        <v>23</v>
      </c>
    </row>
    <row r="100" spans="1:11" x14ac:dyDescent="0.35">
      <c r="A100" t="s">
        <v>152</v>
      </c>
      <c r="B100" s="1" t="d">
        <v>2025-02-18</v>
      </c>
      <c r="C100" t="s">
        <v>60</v>
      </c>
      <c r="D100" t="s">
        <v>61</v>
      </c>
      <c r="E100">
        <v>600</v>
      </c>
      <c r="F100">
        <v>5</v>
      </c>
      <c r="G100">
        <v>3000</v>
      </c>
      <c r="H100" t="s">
        <v>54</v>
      </c>
      <c r="I100" t="s">
        <v>63</v>
      </c>
      <c r="J100" t="s">
        <v>16</v>
      </c>
      <c r="K100" t="s">
        <v>40</v>
      </c>
    </row>
    <row r="101" spans="1:11" x14ac:dyDescent="0.35">
      <c r="A101" t="s">
        <v>153</v>
      </c>
      <c r="B101" s="1" t="d">
        <v>2025-02-13</v>
      </c>
      <c r="C101" t="s">
        <v>12</v>
      </c>
      <c r="D101" t="s">
        <v>13</v>
      </c>
      <c r="E101">
        <v>60</v>
      </c>
      <c r="F101">
        <v>1</v>
      </c>
      <c r="G101">
        <v>60</v>
      </c>
      <c r="H101" t="s">
        <v>80</v>
      </c>
      <c r="I101" t="s">
        <v>38</v>
      </c>
      <c r="J101" t="s">
        <v>58</v>
      </c>
      <c r="K101" t="s">
        <v>17</v>
      </c>
    </row>
    <row r="102" spans="1:11" x14ac:dyDescent="0.35">
      <c r="A102" t="s">
        <v>154</v>
      </c>
      <c r="B102" s="1" t="d">
        <v>2025-02-20</v>
      </c>
      <c r="C102" t="s">
        <v>49</v>
      </c>
      <c r="D102" t="s">
        <v>50</v>
      </c>
      <c r="E102">
        <v>15</v>
      </c>
      <c r="F102">
        <v>5</v>
      </c>
      <c r="G102">
        <v>75</v>
      </c>
      <c r="H102" t="s">
        <v>25</v>
      </c>
      <c r="I102" t="s">
        <v>26</v>
      </c>
      <c r="J102" t="s">
        <v>39</v>
      </c>
      <c r="K102" t="s">
        <v>23</v>
      </c>
    </row>
    <row r="103" spans="1:11" x14ac:dyDescent="0.35">
      <c r="A103" t="s">
        <v>155</v>
      </c>
      <c r="B103" s="1" t="d">
        <v>2025-02-28</v>
      </c>
      <c r="C103" t="s">
        <v>42</v>
      </c>
      <c r="D103" t="s">
        <v>20</v>
      </c>
      <c r="E103">
        <v>500</v>
      </c>
      <c r="F103">
        <v>2</v>
      </c>
      <c r="G103">
        <v>1000</v>
      </c>
      <c r="H103" t="s">
        <v>51</v>
      </c>
      <c r="I103" t="s">
        <v>46</v>
      </c>
      <c r="J103" t="s">
        <v>39</v>
      </c>
      <c r="K103" t="s">
        <v>23</v>
      </c>
    </row>
    <row r="104" spans="1:11" x14ac:dyDescent="0.35">
      <c r="A104" t="s">
        <v>156</v>
      </c>
      <c r="B104" s="1" t="d">
        <v>2025-03-14</v>
      </c>
      <c r="C104" t="s">
        <v>35</v>
      </c>
      <c r="D104" t="s">
        <v>36</v>
      </c>
      <c r="E104">
        <v>20</v>
      </c>
      <c r="F104">
        <v>2</v>
      </c>
      <c r="G104">
        <v>40</v>
      </c>
      <c r="H104" t="s">
        <v>54</v>
      </c>
      <c r="I104" t="s">
        <v>81</v>
      </c>
      <c r="J104" t="s">
        <v>39</v>
      </c>
      <c r="K104" t="s">
        <v>23</v>
      </c>
    </row>
    <row r="105" spans="1:11" x14ac:dyDescent="0.35">
      <c r="A105" t="s">
        <v>157</v>
      </c>
      <c r="B105" s="1" t="d">
        <v>2025-02-22</v>
      </c>
      <c r="C105" t="s">
        <v>53</v>
      </c>
      <c r="D105" t="s">
        <v>36</v>
      </c>
      <c r="E105">
        <v>40</v>
      </c>
      <c r="F105">
        <v>5</v>
      </c>
      <c r="G105">
        <v>200</v>
      </c>
      <c r="H105" t="s">
        <v>80</v>
      </c>
      <c r="I105" t="s">
        <v>30</v>
      </c>
      <c r="J105" t="s">
        <v>16</v>
      </c>
      <c r="K105" t="s">
        <v>23</v>
      </c>
    </row>
    <row r="106" spans="1:11" x14ac:dyDescent="0.35">
      <c r="A106" t="s">
        <v>158</v>
      </c>
      <c r="B106" s="1" t="d">
        <v>2025-03-16</v>
      </c>
      <c r="C106" t="s">
        <v>53</v>
      </c>
      <c r="D106" t="s">
        <v>36</v>
      </c>
      <c r="E106">
        <v>40</v>
      </c>
      <c r="F106">
        <v>1</v>
      </c>
      <c r="G106">
        <v>40</v>
      </c>
      <c r="H106" t="s">
        <v>80</v>
      </c>
      <c r="I106" t="s">
        <v>46</v>
      </c>
      <c r="J106" t="s">
        <v>16</v>
      </c>
      <c r="K106" t="s">
        <v>23</v>
      </c>
    </row>
    <row r="107" spans="1:11" x14ac:dyDescent="0.35">
      <c r="A107" t="s">
        <v>159</v>
      </c>
      <c r="B107" s="1" t="d">
        <v>2025-03-15</v>
      </c>
      <c r="C107" t="s">
        <v>35</v>
      </c>
      <c r="D107" t="s">
        <v>36</v>
      </c>
      <c r="E107">
        <v>20</v>
      </c>
      <c r="F107">
        <v>3</v>
      </c>
      <c r="G107">
        <v>60</v>
      </c>
      <c r="H107" t="s">
        <v>29</v>
      </c>
      <c r="I107" t="s">
        <v>81</v>
      </c>
      <c r="J107" t="s">
        <v>39</v>
      </c>
      <c r="K107" t="s">
        <v>23</v>
      </c>
    </row>
    <row r="108" spans="1:11" x14ac:dyDescent="0.35">
      <c r="A108" t="s">
        <v>160</v>
      </c>
      <c r="B108" s="1" t="d">
        <v>2025-03-19</v>
      </c>
      <c r="C108" t="s">
        <v>53</v>
      </c>
      <c r="D108" t="s">
        <v>36</v>
      </c>
      <c r="E108">
        <v>40</v>
      </c>
      <c r="F108">
        <v>3</v>
      </c>
      <c r="G108">
        <v>120</v>
      </c>
      <c r="H108" t="s">
        <v>29</v>
      </c>
      <c r="I108" t="s">
        <v>30</v>
      </c>
      <c r="J108" t="s">
        <v>31</v>
      </c>
      <c r="K108" t="s">
        <v>17</v>
      </c>
    </row>
    <row r="109" spans="1:11" x14ac:dyDescent="0.35">
      <c r="A109" t="s">
        <v>161</v>
      </c>
      <c r="B109" s="1" t="d">
        <v>2025-03-16</v>
      </c>
      <c r="C109" t="s">
        <v>19</v>
      </c>
      <c r="D109" t="s">
        <v>20</v>
      </c>
      <c r="E109">
        <v>100</v>
      </c>
      <c r="F109">
        <v>2</v>
      </c>
      <c r="G109">
        <v>200</v>
      </c>
      <c r="H109" t="s">
        <v>57</v>
      </c>
      <c r="I109" t="s">
        <v>44</v>
      </c>
      <c r="J109" t="s">
        <v>39</v>
      </c>
      <c r="K109" t="s">
        <v>23</v>
      </c>
    </row>
    <row r="110" spans="1:11" x14ac:dyDescent="0.35">
      <c r="A110" t="s">
        <v>162</v>
      </c>
      <c r="B110" s="1" t="d">
        <v>2025-03-17</v>
      </c>
      <c r="C110" t="s">
        <v>53</v>
      </c>
      <c r="D110" t="s">
        <v>36</v>
      </c>
      <c r="E110">
        <v>40</v>
      </c>
      <c r="F110">
        <v>5</v>
      </c>
      <c r="G110">
        <v>200</v>
      </c>
      <c r="H110" t="s">
        <v>54</v>
      </c>
      <c r="I110" t="s">
        <v>15</v>
      </c>
      <c r="J110" t="s">
        <v>39</v>
      </c>
      <c r="K110" t="s">
        <v>40</v>
      </c>
    </row>
    <row r="111" spans="1:11" x14ac:dyDescent="0.35">
      <c r="A111" t="s">
        <v>163</v>
      </c>
      <c r="B111" s="1" t="d">
        <v>2025-02-18</v>
      </c>
      <c r="C111" t="s">
        <v>42</v>
      </c>
      <c r="D111" t="s">
        <v>20</v>
      </c>
      <c r="E111">
        <v>500</v>
      </c>
      <c r="F111">
        <v>5</v>
      </c>
      <c r="G111">
        <v>2500</v>
      </c>
      <c r="H111" t="s">
        <v>29</v>
      </c>
      <c r="I111" t="s">
        <v>30</v>
      </c>
      <c r="J111" t="s">
        <v>27</v>
      </c>
      <c r="K111" t="s">
        <v>23</v>
      </c>
    </row>
    <row r="112" spans="1:11" x14ac:dyDescent="0.35">
      <c r="A112" t="s">
        <v>164</v>
      </c>
      <c r="B112" s="1" t="d">
        <v>2025-03-31</v>
      </c>
      <c r="C112" t="s">
        <v>56</v>
      </c>
      <c r="D112" t="s">
        <v>20</v>
      </c>
      <c r="E112">
        <v>800</v>
      </c>
      <c r="F112">
        <v>4</v>
      </c>
      <c r="G112">
        <v>3200</v>
      </c>
      <c r="H112" t="s">
        <v>14</v>
      </c>
      <c r="I112" t="s">
        <v>68</v>
      </c>
      <c r="J112" t="s">
        <v>31</v>
      </c>
      <c r="K112" t="s">
        <v>40</v>
      </c>
    </row>
    <row r="113" spans="1:11" x14ac:dyDescent="0.35">
      <c r="A113" t="s">
        <v>165</v>
      </c>
      <c r="B113" s="1" t="d">
        <v>2025-03-06</v>
      </c>
      <c r="C113" t="s">
        <v>60</v>
      </c>
      <c r="D113" t="s">
        <v>61</v>
      </c>
      <c r="E113">
        <v>600</v>
      </c>
      <c r="F113">
        <v>2</v>
      </c>
      <c r="G113">
        <v>1200</v>
      </c>
      <c r="H113" t="s">
        <v>51</v>
      </c>
      <c r="I113" t="s">
        <v>30</v>
      </c>
      <c r="J113" t="s">
        <v>58</v>
      </c>
      <c r="K113" t="s">
        <v>17</v>
      </c>
    </row>
    <row r="114" spans="1:11" x14ac:dyDescent="0.35">
      <c r="A114" t="s">
        <v>166</v>
      </c>
      <c r="B114" s="1" t="d">
        <v>2025-03-19</v>
      </c>
      <c r="C114" t="s">
        <v>49</v>
      </c>
      <c r="D114" t="s">
        <v>50</v>
      </c>
      <c r="E114">
        <v>15</v>
      </c>
      <c r="F114">
        <v>5</v>
      </c>
      <c r="G114">
        <v>75</v>
      </c>
      <c r="H114" t="s">
        <v>51</v>
      </c>
      <c r="I114" t="s">
        <v>22</v>
      </c>
      <c r="J114" t="s">
        <v>16</v>
      </c>
      <c r="K114" t="s">
        <v>23</v>
      </c>
    </row>
    <row r="115" spans="1:11" x14ac:dyDescent="0.35">
      <c r="A115" t="s">
        <v>167</v>
      </c>
      <c r="B115" s="1" t="d">
        <v>2025-02-23</v>
      </c>
      <c r="C115" t="s">
        <v>12</v>
      </c>
      <c r="D115" t="s">
        <v>13</v>
      </c>
      <c r="E115">
        <v>60</v>
      </c>
      <c r="F115">
        <v>1</v>
      </c>
      <c r="G115">
        <v>60</v>
      </c>
      <c r="H115" t="s">
        <v>14</v>
      </c>
      <c r="I115" t="s">
        <v>38</v>
      </c>
      <c r="J115" t="s">
        <v>31</v>
      </c>
      <c r="K115" t="s">
        <v>23</v>
      </c>
    </row>
    <row r="116" spans="1:11" x14ac:dyDescent="0.35">
      <c r="A116" t="s">
        <v>168</v>
      </c>
      <c r="B116" s="1" t="d">
        <v>2025-03-21</v>
      </c>
      <c r="C116" t="s">
        <v>12</v>
      </c>
      <c r="D116" t="s">
        <v>13</v>
      </c>
      <c r="E116">
        <v>60</v>
      </c>
      <c r="F116">
        <v>3</v>
      </c>
      <c r="G116">
        <v>180</v>
      </c>
      <c r="H116" t="s">
        <v>29</v>
      </c>
      <c r="I116" t="s">
        <v>44</v>
      </c>
      <c r="J116" t="s">
        <v>27</v>
      </c>
      <c r="K116" t="s">
        <v>40</v>
      </c>
    </row>
    <row r="117" spans="1:11" x14ac:dyDescent="0.35">
      <c r="A117" t="s">
        <v>169</v>
      </c>
      <c r="B117" s="1" t="d">
        <v>2025-03-19</v>
      </c>
      <c r="C117" t="s">
        <v>56</v>
      </c>
      <c r="D117" t="s">
        <v>20</v>
      </c>
      <c r="E117">
        <v>800</v>
      </c>
      <c r="F117">
        <v>4</v>
      </c>
      <c r="G117">
        <v>3200</v>
      </c>
      <c r="H117" t="s">
        <v>14</v>
      </c>
      <c r="I117" t="s">
        <v>68</v>
      </c>
      <c r="J117" t="s">
        <v>27</v>
      </c>
      <c r="K117" t="s">
        <v>40</v>
      </c>
    </row>
    <row r="118" spans="1:11" x14ac:dyDescent="0.35">
      <c r="A118" t="s">
        <v>170</v>
      </c>
      <c r="B118" s="1" t="d">
        <v>2025-02-27</v>
      </c>
      <c r="C118" t="s">
        <v>35</v>
      </c>
      <c r="D118" t="s">
        <v>36</v>
      </c>
      <c r="E118">
        <v>20</v>
      </c>
      <c r="F118">
        <v>1</v>
      </c>
      <c r="G118">
        <v>20</v>
      </c>
      <c r="H118" t="s">
        <v>57</v>
      </c>
      <c r="I118" t="s">
        <v>15</v>
      </c>
      <c r="J118" t="s">
        <v>31</v>
      </c>
      <c r="K118" t="s">
        <v>40</v>
      </c>
    </row>
    <row r="119" spans="1:11" x14ac:dyDescent="0.35">
      <c r="A119" t="s">
        <v>171</v>
      </c>
      <c r="B119" s="1" t="d">
        <v>2025-02-10</v>
      </c>
      <c r="C119" t="s">
        <v>19</v>
      </c>
      <c r="D119" t="s">
        <v>20</v>
      </c>
      <c r="E119">
        <v>100</v>
      </c>
      <c r="F119">
        <v>5</v>
      </c>
      <c r="G119">
        <v>500</v>
      </c>
      <c r="H119" t="s">
        <v>25</v>
      </c>
      <c r="I119" t="s">
        <v>38</v>
      </c>
      <c r="J119" t="s">
        <v>27</v>
      </c>
      <c r="K119" t="s">
        <v>40</v>
      </c>
    </row>
    <row r="120" spans="1:11" x14ac:dyDescent="0.35">
      <c r="A120" t="s">
        <v>172</v>
      </c>
      <c r="B120" s="1" t="d">
        <v>2025-03-16</v>
      </c>
      <c r="C120" t="s">
        <v>42</v>
      </c>
      <c r="D120" t="s">
        <v>20</v>
      </c>
      <c r="E120">
        <v>500</v>
      </c>
      <c r="F120">
        <v>2</v>
      </c>
      <c r="G120">
        <v>1000</v>
      </c>
      <c r="H120" t="s">
        <v>72</v>
      </c>
      <c r="I120" t="s">
        <v>81</v>
      </c>
      <c r="J120" t="s">
        <v>39</v>
      </c>
      <c r="K120" t="s">
        <v>23</v>
      </c>
    </row>
    <row r="121" spans="1:11" x14ac:dyDescent="0.35">
      <c r="A121" t="s">
        <v>173</v>
      </c>
      <c r="B121" s="1" t="d">
        <v>2025-02-16</v>
      </c>
      <c r="C121" t="s">
        <v>56</v>
      </c>
      <c r="D121" t="s">
        <v>20</v>
      </c>
      <c r="E121">
        <v>800</v>
      </c>
      <c r="F121">
        <v>5</v>
      </c>
      <c r="G121">
        <v>4000</v>
      </c>
      <c r="H121" t="s">
        <v>21</v>
      </c>
      <c r="I121" t="s">
        <v>26</v>
      </c>
      <c r="J121" t="s">
        <v>39</v>
      </c>
      <c r="K121" t="s">
        <v>40</v>
      </c>
    </row>
    <row r="122" spans="1:11" x14ac:dyDescent="0.35">
      <c r="A122" t="s">
        <v>174</v>
      </c>
      <c r="B122" s="1" t="d">
        <v>2025-02-18</v>
      </c>
      <c r="C122" t="s">
        <v>42</v>
      </c>
      <c r="D122" t="s">
        <v>20</v>
      </c>
      <c r="E122">
        <v>500</v>
      </c>
      <c r="F122">
        <v>1</v>
      </c>
      <c r="G122">
        <v>500</v>
      </c>
      <c r="H122" t="s">
        <v>25</v>
      </c>
      <c r="I122" t="s">
        <v>30</v>
      </c>
      <c r="J122" t="s">
        <v>58</v>
      </c>
      <c r="K122" t="s">
        <v>23</v>
      </c>
    </row>
    <row r="123" spans="1:11" x14ac:dyDescent="0.35">
      <c r="A123" t="s">
        <v>175</v>
      </c>
      <c r="B123" s="1" t="d">
        <v>2025-03-28</v>
      </c>
      <c r="C123" t="s">
        <v>56</v>
      </c>
      <c r="D123" t="s">
        <v>20</v>
      </c>
      <c r="E123">
        <v>800</v>
      </c>
      <c r="F123">
        <v>3</v>
      </c>
      <c r="G123">
        <v>2400</v>
      </c>
      <c r="H123" t="s">
        <v>25</v>
      </c>
      <c r="I123" t="s">
        <v>44</v>
      </c>
      <c r="J123" t="s">
        <v>31</v>
      </c>
      <c r="K123" t="s">
        <v>17</v>
      </c>
    </row>
    <row r="124" spans="1:11" x14ac:dyDescent="0.35">
      <c r="A124" t="s">
        <v>176</v>
      </c>
      <c r="B124" s="1" t="d">
        <v>2025-02-23</v>
      </c>
      <c r="C124" t="s">
        <v>49</v>
      </c>
      <c r="D124" t="s">
        <v>50</v>
      </c>
      <c r="E124">
        <v>15</v>
      </c>
      <c r="F124">
        <v>3</v>
      </c>
      <c r="G124">
        <v>45</v>
      </c>
      <c r="H124" t="s">
        <v>72</v>
      </c>
      <c r="I124" t="s">
        <v>46</v>
      </c>
      <c r="J124" t="s">
        <v>58</v>
      </c>
      <c r="K124" t="s">
        <v>17</v>
      </c>
    </row>
    <row r="125" spans="1:11" x14ac:dyDescent="0.35">
      <c r="A125" t="s">
        <v>177</v>
      </c>
      <c r="B125" s="1" t="d">
        <v>2025-02-10</v>
      </c>
      <c r="C125" t="s">
        <v>49</v>
      </c>
      <c r="D125" t="s">
        <v>50</v>
      </c>
      <c r="E125">
        <v>15</v>
      </c>
      <c r="F125">
        <v>1</v>
      </c>
      <c r="G125">
        <v>15</v>
      </c>
      <c r="H125" t="s">
        <v>14</v>
      </c>
      <c r="I125" t="s">
        <v>63</v>
      </c>
      <c r="J125" t="s">
        <v>58</v>
      </c>
      <c r="K125" t="s">
        <v>23</v>
      </c>
    </row>
    <row r="126" spans="1:11" x14ac:dyDescent="0.35">
      <c r="A126" t="s">
        <v>178</v>
      </c>
      <c r="B126" s="1" t="d">
        <v>2025-02-23</v>
      </c>
      <c r="C126" t="s">
        <v>42</v>
      </c>
      <c r="D126" t="s">
        <v>20</v>
      </c>
      <c r="E126">
        <v>500</v>
      </c>
      <c r="F126">
        <v>1</v>
      </c>
      <c r="G126">
        <v>500</v>
      </c>
      <c r="H126" t="s">
        <v>21</v>
      </c>
      <c r="I126" t="s">
        <v>26</v>
      </c>
      <c r="J126" t="s">
        <v>27</v>
      </c>
      <c r="K126" t="s">
        <v>40</v>
      </c>
    </row>
    <row r="127" spans="1:11" x14ac:dyDescent="0.35">
      <c r="A127" t="s">
        <v>179</v>
      </c>
      <c r="B127" s="1" t="d">
        <v>2025-02-04</v>
      </c>
      <c r="C127" t="s">
        <v>65</v>
      </c>
      <c r="D127" t="s">
        <v>61</v>
      </c>
      <c r="E127">
        <v>1200</v>
      </c>
      <c r="F127">
        <v>5</v>
      </c>
      <c r="G127">
        <v>6000</v>
      </c>
      <c r="H127" t="s">
        <v>29</v>
      </c>
      <c r="I127" t="s">
        <v>81</v>
      </c>
      <c r="J127" t="s">
        <v>58</v>
      </c>
      <c r="K127" t="s">
        <v>23</v>
      </c>
    </row>
    <row r="128" spans="1:11" x14ac:dyDescent="0.35">
      <c r="A128" t="s">
        <v>180</v>
      </c>
      <c r="B128" s="1" t="d">
        <v>2025-02-18</v>
      </c>
      <c r="C128" t="s">
        <v>35</v>
      </c>
      <c r="D128" t="s">
        <v>36</v>
      </c>
      <c r="E128">
        <v>20</v>
      </c>
      <c r="F128">
        <v>3</v>
      </c>
      <c r="G128">
        <v>60</v>
      </c>
      <c r="H128" t="s">
        <v>14</v>
      </c>
      <c r="I128" t="s">
        <v>30</v>
      </c>
      <c r="J128" t="s">
        <v>16</v>
      </c>
      <c r="K128" t="s">
        <v>40</v>
      </c>
    </row>
    <row r="129" spans="1:11" x14ac:dyDescent="0.35">
      <c r="A129" t="s">
        <v>181</v>
      </c>
      <c r="B129" s="1" t="d">
        <v>2025-03-23</v>
      </c>
      <c r="C129" t="s">
        <v>33</v>
      </c>
      <c r="D129" t="s">
        <v>20</v>
      </c>
      <c r="E129">
        <v>150</v>
      </c>
      <c r="F129">
        <v>2</v>
      </c>
      <c r="G129">
        <v>300</v>
      </c>
      <c r="H129" t="s">
        <v>21</v>
      </c>
      <c r="I129" t="s">
        <v>30</v>
      </c>
      <c r="J129" t="s">
        <v>39</v>
      </c>
      <c r="K129" t="s">
        <v>17</v>
      </c>
    </row>
    <row r="130" spans="1:11" x14ac:dyDescent="0.35">
      <c r="A130" t="s">
        <v>182</v>
      </c>
      <c r="B130" s="1" t="d">
        <v>2025-02-26</v>
      </c>
      <c r="C130" t="s">
        <v>53</v>
      </c>
      <c r="D130" t="s">
        <v>36</v>
      </c>
      <c r="E130">
        <v>40</v>
      </c>
      <c r="F130">
        <v>5</v>
      </c>
      <c r="G130">
        <v>200</v>
      </c>
      <c r="H130" t="s">
        <v>21</v>
      </c>
      <c r="I130" t="s">
        <v>15</v>
      </c>
      <c r="J130" t="s">
        <v>16</v>
      </c>
      <c r="K130" t="s">
        <v>23</v>
      </c>
    </row>
    <row r="131" spans="1:11" x14ac:dyDescent="0.35">
      <c r="A131" t="s">
        <v>183</v>
      </c>
      <c r="B131" s="1" t="d">
        <v>2025-02-10</v>
      </c>
      <c r="C131" t="s">
        <v>33</v>
      </c>
      <c r="D131" t="s">
        <v>20</v>
      </c>
      <c r="E131">
        <v>150</v>
      </c>
      <c r="F131">
        <v>5</v>
      </c>
      <c r="G131">
        <v>750</v>
      </c>
      <c r="H131" t="s">
        <v>51</v>
      </c>
      <c r="I131" t="s">
        <v>46</v>
      </c>
      <c r="J131" t="s">
        <v>39</v>
      </c>
      <c r="K131" t="s">
        <v>40</v>
      </c>
    </row>
    <row r="132" spans="1:11" x14ac:dyDescent="0.35">
      <c r="A132" t="s">
        <v>184</v>
      </c>
      <c r="B132" s="1" t="d">
        <v>2025-02-26</v>
      </c>
      <c r="C132" t="s">
        <v>53</v>
      </c>
      <c r="D132" t="s">
        <v>36</v>
      </c>
      <c r="E132">
        <v>40</v>
      </c>
      <c r="F132">
        <v>2</v>
      </c>
      <c r="G132">
        <v>80</v>
      </c>
      <c r="H132" t="s">
        <v>57</v>
      </c>
      <c r="I132" t="s">
        <v>81</v>
      </c>
      <c r="J132" t="s">
        <v>31</v>
      </c>
      <c r="K132" t="s">
        <v>23</v>
      </c>
    </row>
    <row r="133" spans="1:11" x14ac:dyDescent="0.35">
      <c r="A133" t="s">
        <v>185</v>
      </c>
      <c r="B133" s="1" t="d">
        <v>2025-03-07</v>
      </c>
      <c r="C133" t="s">
        <v>42</v>
      </c>
      <c r="D133" t="s">
        <v>20</v>
      </c>
      <c r="E133">
        <v>500</v>
      </c>
      <c r="F133">
        <v>2</v>
      </c>
      <c r="G133">
        <v>1000</v>
      </c>
      <c r="H133" t="s">
        <v>29</v>
      </c>
      <c r="I133" t="s">
        <v>81</v>
      </c>
      <c r="J133" t="s">
        <v>16</v>
      </c>
      <c r="K133" t="s">
        <v>23</v>
      </c>
    </row>
    <row r="134" spans="1:11" x14ac:dyDescent="0.35">
      <c r="A134" t="s">
        <v>186</v>
      </c>
      <c r="B134" s="1" t="d">
        <v>2025-02-23</v>
      </c>
      <c r="C134" t="s">
        <v>56</v>
      </c>
      <c r="D134" t="s">
        <v>20</v>
      </c>
      <c r="E134">
        <v>800</v>
      </c>
      <c r="F134">
        <v>1</v>
      </c>
      <c r="G134">
        <v>800</v>
      </c>
      <c r="H134" t="s">
        <v>21</v>
      </c>
      <c r="I134" t="s">
        <v>15</v>
      </c>
      <c r="J134" t="s">
        <v>27</v>
      </c>
      <c r="K134" t="s">
        <v>23</v>
      </c>
    </row>
    <row r="135" spans="1:11" x14ac:dyDescent="0.35">
      <c r="A135" t="s">
        <v>187</v>
      </c>
      <c r="B135" s="1" t="d">
        <v>2025-02-07</v>
      </c>
      <c r="C135" t="s">
        <v>42</v>
      </c>
      <c r="D135" t="s">
        <v>20</v>
      </c>
      <c r="E135">
        <v>500</v>
      </c>
      <c r="F135">
        <v>5</v>
      </c>
      <c r="G135">
        <v>2500</v>
      </c>
      <c r="H135" t="s">
        <v>51</v>
      </c>
      <c r="I135" t="s">
        <v>81</v>
      </c>
      <c r="J135" t="s">
        <v>58</v>
      </c>
      <c r="K135" t="s">
        <v>23</v>
      </c>
    </row>
    <row r="136" spans="1:11" x14ac:dyDescent="0.35">
      <c r="A136" t="s">
        <v>188</v>
      </c>
      <c r="B136" s="1" t="d">
        <v>2025-02-10</v>
      </c>
      <c r="C136" t="s">
        <v>35</v>
      </c>
      <c r="D136" t="s">
        <v>36</v>
      </c>
      <c r="E136">
        <v>20</v>
      </c>
      <c r="F136">
        <v>1</v>
      </c>
      <c r="G136">
        <v>20</v>
      </c>
      <c r="H136" t="s">
        <v>29</v>
      </c>
      <c r="I136" t="s">
        <v>44</v>
      </c>
      <c r="J136" t="s">
        <v>31</v>
      </c>
      <c r="K136" t="s">
        <v>23</v>
      </c>
    </row>
    <row r="137" spans="1:11" x14ac:dyDescent="0.35">
      <c r="A137" t="s">
        <v>189</v>
      </c>
      <c r="B137" s="1" t="d">
        <v>2025-02-11</v>
      </c>
      <c r="C137" t="s">
        <v>65</v>
      </c>
      <c r="D137" t="s">
        <v>61</v>
      </c>
      <c r="E137">
        <v>1200</v>
      </c>
      <c r="F137">
        <v>2</v>
      </c>
      <c r="G137">
        <v>2400</v>
      </c>
      <c r="H137" t="s">
        <v>57</v>
      </c>
      <c r="I137" t="s">
        <v>22</v>
      </c>
      <c r="J137" t="s">
        <v>39</v>
      </c>
      <c r="K137" t="s">
        <v>17</v>
      </c>
    </row>
    <row r="138" spans="1:11" x14ac:dyDescent="0.35">
      <c r="A138" t="s">
        <v>190</v>
      </c>
      <c r="B138" s="1" t="d">
        <v>2025-03-20</v>
      </c>
      <c r="C138" t="s">
        <v>33</v>
      </c>
      <c r="D138" t="s">
        <v>20</v>
      </c>
      <c r="E138">
        <v>150</v>
      </c>
      <c r="F138">
        <v>3</v>
      </c>
      <c r="G138">
        <v>450</v>
      </c>
      <c r="H138" t="s">
        <v>43</v>
      </c>
      <c r="I138" t="s">
        <v>22</v>
      </c>
      <c r="J138" t="s">
        <v>16</v>
      </c>
      <c r="K138" t="s">
        <v>40</v>
      </c>
    </row>
    <row r="139" spans="1:11" x14ac:dyDescent="0.35">
      <c r="A139" t="s">
        <v>191</v>
      </c>
      <c r="B139" s="1" t="d">
        <v>2025-02-11</v>
      </c>
      <c r="C139" t="s">
        <v>33</v>
      </c>
      <c r="D139" t="s">
        <v>20</v>
      </c>
      <c r="E139">
        <v>150</v>
      </c>
      <c r="F139">
        <v>5</v>
      </c>
      <c r="G139">
        <v>750</v>
      </c>
      <c r="H139" t="s">
        <v>25</v>
      </c>
      <c r="I139" t="s">
        <v>68</v>
      </c>
      <c r="J139" t="s">
        <v>31</v>
      </c>
      <c r="K139" t="s">
        <v>17</v>
      </c>
    </row>
    <row r="140" spans="1:11" x14ac:dyDescent="0.35">
      <c r="A140" t="s">
        <v>192</v>
      </c>
      <c r="B140" s="1" t="d">
        <v>2025-03-18</v>
      </c>
      <c r="C140" t="s">
        <v>56</v>
      </c>
      <c r="D140" t="s">
        <v>20</v>
      </c>
      <c r="E140">
        <v>800</v>
      </c>
      <c r="F140">
        <v>2</v>
      </c>
      <c r="G140">
        <v>1600</v>
      </c>
      <c r="H140" t="s">
        <v>54</v>
      </c>
      <c r="I140" t="s">
        <v>26</v>
      </c>
      <c r="J140" t="s">
        <v>39</v>
      </c>
      <c r="K140" t="s">
        <v>17</v>
      </c>
    </row>
    <row r="141" spans="1:11" x14ac:dyDescent="0.35">
      <c r="A141" t="s">
        <v>193</v>
      </c>
      <c r="B141" s="1" t="d">
        <v>2025-03-19</v>
      </c>
      <c r="C141" t="s">
        <v>33</v>
      </c>
      <c r="D141" t="s">
        <v>20</v>
      </c>
      <c r="E141">
        <v>150</v>
      </c>
      <c r="F141">
        <v>2</v>
      </c>
      <c r="G141">
        <v>300</v>
      </c>
      <c r="H141" t="s">
        <v>29</v>
      </c>
      <c r="I141" t="s">
        <v>44</v>
      </c>
      <c r="J141" t="s">
        <v>16</v>
      </c>
      <c r="K141" t="s">
        <v>40</v>
      </c>
    </row>
    <row r="142" spans="1:11" x14ac:dyDescent="0.35">
      <c r="A142" t="s">
        <v>194</v>
      </c>
      <c r="B142" s="1" t="d">
        <v>2025-03-21</v>
      </c>
      <c r="C142" t="s">
        <v>42</v>
      </c>
      <c r="D142" t="s">
        <v>20</v>
      </c>
      <c r="E142">
        <v>500</v>
      </c>
      <c r="F142">
        <v>2</v>
      </c>
      <c r="G142">
        <v>1000</v>
      </c>
      <c r="H142" t="s">
        <v>25</v>
      </c>
      <c r="I142" t="s">
        <v>44</v>
      </c>
      <c r="J142" t="s">
        <v>39</v>
      </c>
      <c r="K142" t="s">
        <v>40</v>
      </c>
    </row>
    <row r="143" spans="1:11" x14ac:dyDescent="0.35">
      <c r="A143" t="s">
        <v>195</v>
      </c>
      <c r="B143" s="1" t="d">
        <v>2025-03-15</v>
      </c>
      <c r="C143" t="s">
        <v>42</v>
      </c>
      <c r="D143" t="s">
        <v>20</v>
      </c>
      <c r="E143">
        <v>500</v>
      </c>
      <c r="F143">
        <v>3</v>
      </c>
      <c r="G143">
        <v>1500</v>
      </c>
      <c r="H143" t="s">
        <v>43</v>
      </c>
      <c r="I143" t="s">
        <v>44</v>
      </c>
      <c r="J143" t="s">
        <v>58</v>
      </c>
      <c r="K143" t="s">
        <v>40</v>
      </c>
    </row>
    <row r="144" spans="1:11" x14ac:dyDescent="0.35">
      <c r="A144" t="s">
        <v>196</v>
      </c>
      <c r="B144" s="1" t="d">
        <v>2025-03-31</v>
      </c>
      <c r="C144" t="s">
        <v>65</v>
      </c>
      <c r="D144" t="s">
        <v>61</v>
      </c>
      <c r="E144">
        <v>1200</v>
      </c>
      <c r="F144">
        <v>2</v>
      </c>
      <c r="G144">
        <v>2400</v>
      </c>
      <c r="H144" t="s">
        <v>80</v>
      </c>
      <c r="I144" t="s">
        <v>30</v>
      </c>
      <c r="J144" t="s">
        <v>39</v>
      </c>
      <c r="K144" t="s">
        <v>17</v>
      </c>
    </row>
    <row r="145" spans="1:11" x14ac:dyDescent="0.35">
      <c r="A145" t="s">
        <v>197</v>
      </c>
      <c r="B145" s="1" t="d">
        <v>2025-02-27</v>
      </c>
      <c r="C145" t="s">
        <v>53</v>
      </c>
      <c r="D145" t="s">
        <v>36</v>
      </c>
      <c r="E145">
        <v>40</v>
      </c>
      <c r="F145">
        <v>2</v>
      </c>
      <c r="G145">
        <v>80</v>
      </c>
      <c r="H145" t="s">
        <v>54</v>
      </c>
      <c r="I145" t="s">
        <v>68</v>
      </c>
      <c r="J145" t="s">
        <v>58</v>
      </c>
      <c r="K145" t="s">
        <v>17</v>
      </c>
    </row>
    <row r="146" spans="1:11" x14ac:dyDescent="0.35">
      <c r="A146" t="s">
        <v>198</v>
      </c>
      <c r="B146" s="1" t="d">
        <v>2025-03-08</v>
      </c>
      <c r="C146" t="s">
        <v>33</v>
      </c>
      <c r="D146" t="s">
        <v>20</v>
      </c>
      <c r="E146">
        <v>150</v>
      </c>
      <c r="F146">
        <v>2</v>
      </c>
      <c r="G146">
        <v>300</v>
      </c>
      <c r="H146" t="s">
        <v>54</v>
      </c>
      <c r="I146" t="s">
        <v>63</v>
      </c>
      <c r="J146" t="s">
        <v>16</v>
      </c>
      <c r="K146" t="s">
        <v>17</v>
      </c>
    </row>
    <row r="147" spans="1:11" x14ac:dyDescent="0.35">
      <c r="A147" t="s">
        <v>199</v>
      </c>
      <c r="B147" s="1" t="d">
        <v>2025-03-25</v>
      </c>
      <c r="C147" t="s">
        <v>33</v>
      </c>
      <c r="D147" t="s">
        <v>20</v>
      </c>
      <c r="E147">
        <v>150</v>
      </c>
      <c r="F147">
        <v>2</v>
      </c>
      <c r="G147">
        <v>300</v>
      </c>
      <c r="H147" t="s">
        <v>14</v>
      </c>
      <c r="I147" t="s">
        <v>46</v>
      </c>
      <c r="J147" t="s">
        <v>16</v>
      </c>
      <c r="K147" t="s">
        <v>40</v>
      </c>
    </row>
    <row r="148" spans="1:11" x14ac:dyDescent="0.35">
      <c r="A148" t="s">
        <v>200</v>
      </c>
      <c r="B148" s="1" t="d">
        <v>2025-02-05</v>
      </c>
      <c r="C148" t="s">
        <v>12</v>
      </c>
      <c r="D148" t="s">
        <v>13</v>
      </c>
      <c r="E148">
        <v>60</v>
      </c>
      <c r="F148">
        <v>5</v>
      </c>
      <c r="G148">
        <v>300</v>
      </c>
      <c r="H148" t="s">
        <v>80</v>
      </c>
      <c r="I148" t="s">
        <v>30</v>
      </c>
      <c r="J148" t="s">
        <v>39</v>
      </c>
      <c r="K148" t="s">
        <v>23</v>
      </c>
    </row>
    <row r="149" spans="1:11" x14ac:dyDescent="0.35">
      <c r="A149" t="s">
        <v>201</v>
      </c>
      <c r="B149" s="1" t="d">
        <v>2025-02-06</v>
      </c>
      <c r="C149" t="s">
        <v>19</v>
      </c>
      <c r="D149" t="s">
        <v>20</v>
      </c>
      <c r="E149">
        <v>100</v>
      </c>
      <c r="F149">
        <v>4</v>
      </c>
      <c r="G149">
        <v>400</v>
      </c>
      <c r="H149" t="s">
        <v>21</v>
      </c>
      <c r="I149" t="s">
        <v>68</v>
      </c>
      <c r="J149" t="s">
        <v>27</v>
      </c>
      <c r="K149" t="s">
        <v>17</v>
      </c>
    </row>
    <row r="150" spans="1:11" x14ac:dyDescent="0.35">
      <c r="A150" t="s">
        <v>202</v>
      </c>
      <c r="B150" s="1" t="d">
        <v>2025-03-20</v>
      </c>
      <c r="C150" t="s">
        <v>12</v>
      </c>
      <c r="D150" t="s">
        <v>13</v>
      </c>
      <c r="E150">
        <v>60</v>
      </c>
      <c r="F150">
        <v>3</v>
      </c>
      <c r="G150">
        <v>180</v>
      </c>
      <c r="H150" t="s">
        <v>54</v>
      </c>
      <c r="I150" t="s">
        <v>15</v>
      </c>
      <c r="J150" t="s">
        <v>58</v>
      </c>
      <c r="K150" t="s">
        <v>23</v>
      </c>
    </row>
    <row r="151" spans="1:11" x14ac:dyDescent="0.35">
      <c r="A151" t="s">
        <v>203</v>
      </c>
      <c r="B151" s="1" t="d">
        <v>2025-02-08</v>
      </c>
      <c r="C151" t="s">
        <v>49</v>
      </c>
      <c r="D151" t="s">
        <v>50</v>
      </c>
      <c r="E151">
        <v>15</v>
      </c>
      <c r="F151">
        <v>4</v>
      </c>
      <c r="G151">
        <v>60</v>
      </c>
      <c r="H151" t="s">
        <v>57</v>
      </c>
      <c r="I151" t="s">
        <v>81</v>
      </c>
      <c r="J151" t="s">
        <v>58</v>
      </c>
      <c r="K151" t="s">
        <v>17</v>
      </c>
    </row>
    <row r="152" spans="1:11" x14ac:dyDescent="0.35">
      <c r="A152" t="s">
        <v>204</v>
      </c>
      <c r="B152" s="1" t="d">
        <v>2025-03-29</v>
      </c>
      <c r="C152" t="s">
        <v>60</v>
      </c>
      <c r="D152" t="s">
        <v>61</v>
      </c>
      <c r="E152">
        <v>600</v>
      </c>
      <c r="F152">
        <v>4</v>
      </c>
      <c r="G152">
        <v>2400</v>
      </c>
      <c r="H152" t="s">
        <v>80</v>
      </c>
      <c r="I152" t="s">
        <v>68</v>
      </c>
      <c r="J152" t="s">
        <v>27</v>
      </c>
      <c r="K152" t="s">
        <v>23</v>
      </c>
    </row>
    <row r="153" spans="1:11" x14ac:dyDescent="0.35">
      <c r="A153" t="s">
        <v>205</v>
      </c>
      <c r="B153" s="1" t="d">
        <v>2025-02-28</v>
      </c>
      <c r="C153" t="s">
        <v>33</v>
      </c>
      <c r="D153" t="s">
        <v>20</v>
      </c>
      <c r="E153">
        <v>150</v>
      </c>
      <c r="F153">
        <v>1</v>
      </c>
      <c r="G153">
        <v>150</v>
      </c>
      <c r="H153" t="s">
        <v>25</v>
      </c>
      <c r="I153" t="s">
        <v>63</v>
      </c>
      <c r="J153" t="s">
        <v>58</v>
      </c>
      <c r="K153" t="s">
        <v>40</v>
      </c>
    </row>
    <row r="154" spans="1:11" x14ac:dyDescent="0.35">
      <c r="A154" t="s">
        <v>206</v>
      </c>
      <c r="B154" s="1" t="d">
        <v>2025-02-23</v>
      </c>
      <c r="C154" t="s">
        <v>33</v>
      </c>
      <c r="D154" t="s">
        <v>20</v>
      </c>
      <c r="E154">
        <v>150</v>
      </c>
      <c r="F154">
        <v>5</v>
      </c>
      <c r="G154">
        <v>750</v>
      </c>
      <c r="H154" t="s">
        <v>43</v>
      </c>
      <c r="I154" t="s">
        <v>22</v>
      </c>
      <c r="J154" t="s">
        <v>39</v>
      </c>
      <c r="K154" t="s">
        <v>23</v>
      </c>
    </row>
    <row r="155" spans="1:11" x14ac:dyDescent="0.35">
      <c r="A155" t="s">
        <v>207</v>
      </c>
      <c r="B155" s="1" t="d">
        <v>2025-03-01</v>
      </c>
      <c r="C155" t="s">
        <v>19</v>
      </c>
      <c r="D155" t="s">
        <v>20</v>
      </c>
      <c r="E155">
        <v>100</v>
      </c>
      <c r="F155">
        <v>2</v>
      </c>
      <c r="G155">
        <v>200</v>
      </c>
      <c r="H155" t="s">
        <v>25</v>
      </c>
      <c r="I155" t="s">
        <v>26</v>
      </c>
      <c r="J155" t="s">
        <v>16</v>
      </c>
      <c r="K155" t="s">
        <v>40</v>
      </c>
    </row>
    <row r="156" spans="1:11" x14ac:dyDescent="0.35">
      <c r="A156" t="s">
        <v>208</v>
      </c>
      <c r="B156" s="1" t="d">
        <v>2025-02-05</v>
      </c>
      <c r="C156" t="s">
        <v>65</v>
      </c>
      <c r="D156" t="s">
        <v>61</v>
      </c>
      <c r="E156">
        <v>1200</v>
      </c>
      <c r="F156">
        <v>4</v>
      </c>
      <c r="G156">
        <v>4800</v>
      </c>
      <c r="H156" t="s">
        <v>43</v>
      </c>
      <c r="I156" t="s">
        <v>63</v>
      </c>
      <c r="J156" t="s">
        <v>31</v>
      </c>
      <c r="K156" t="s">
        <v>23</v>
      </c>
    </row>
    <row r="157" spans="1:11" x14ac:dyDescent="0.35">
      <c r="A157" t="s">
        <v>209</v>
      </c>
      <c r="B157" s="1" t="d">
        <v>2025-03-16</v>
      </c>
      <c r="C157" t="s">
        <v>33</v>
      </c>
      <c r="D157" t="s">
        <v>20</v>
      </c>
      <c r="E157">
        <v>150</v>
      </c>
      <c r="F157">
        <v>4</v>
      </c>
      <c r="G157">
        <v>600</v>
      </c>
      <c r="H157" t="s">
        <v>29</v>
      </c>
      <c r="I157" t="s">
        <v>44</v>
      </c>
      <c r="J157" t="s">
        <v>39</v>
      </c>
      <c r="K157" t="s">
        <v>17</v>
      </c>
    </row>
    <row r="158" spans="1:11" x14ac:dyDescent="0.35">
      <c r="A158" t="s">
        <v>210</v>
      </c>
      <c r="B158" s="1" t="d">
        <v>2025-02-08</v>
      </c>
      <c r="C158" t="s">
        <v>42</v>
      </c>
      <c r="D158" t="s">
        <v>20</v>
      </c>
      <c r="E158">
        <v>500</v>
      </c>
      <c r="F158">
        <v>3</v>
      </c>
      <c r="G158">
        <v>1500</v>
      </c>
      <c r="H158" t="s">
        <v>43</v>
      </c>
      <c r="I158" t="s">
        <v>26</v>
      </c>
      <c r="J158" t="s">
        <v>31</v>
      </c>
      <c r="K158" t="s">
        <v>23</v>
      </c>
    </row>
    <row r="159" spans="1:11" x14ac:dyDescent="0.35">
      <c r="A159" t="s">
        <v>211</v>
      </c>
      <c r="B159" s="1" t="d">
        <v>2025-02-24</v>
      </c>
      <c r="C159" t="s">
        <v>56</v>
      </c>
      <c r="D159" t="s">
        <v>20</v>
      </c>
      <c r="E159">
        <v>800</v>
      </c>
      <c r="F159">
        <v>3</v>
      </c>
      <c r="G159">
        <v>2400</v>
      </c>
      <c r="H159" t="s">
        <v>72</v>
      </c>
      <c r="I159" t="s">
        <v>44</v>
      </c>
      <c r="J159" t="s">
        <v>16</v>
      </c>
      <c r="K159" t="s">
        <v>23</v>
      </c>
    </row>
    <row r="160" spans="1:11" x14ac:dyDescent="0.35">
      <c r="A160" t="s">
        <v>212</v>
      </c>
      <c r="B160" s="1" t="d">
        <v>2025-02-16</v>
      </c>
      <c r="C160" t="s">
        <v>35</v>
      </c>
      <c r="D160" t="s">
        <v>36</v>
      </c>
      <c r="E160">
        <v>20</v>
      </c>
      <c r="F160">
        <v>2</v>
      </c>
      <c r="G160">
        <v>40</v>
      </c>
      <c r="H160" t="s">
        <v>51</v>
      </c>
      <c r="I160" t="s">
        <v>30</v>
      </c>
      <c r="J160" t="s">
        <v>58</v>
      </c>
      <c r="K160" t="s">
        <v>17</v>
      </c>
    </row>
    <row r="161" spans="1:11" x14ac:dyDescent="0.35">
      <c r="A161" t="s">
        <v>213</v>
      </c>
      <c r="B161" s="1" t="d">
        <v>2025-02-06</v>
      </c>
      <c r="C161" t="s">
        <v>60</v>
      </c>
      <c r="D161" t="s">
        <v>61</v>
      </c>
      <c r="E161">
        <v>600</v>
      </c>
      <c r="F161">
        <v>3</v>
      </c>
      <c r="G161">
        <v>1800</v>
      </c>
      <c r="H161" t="s">
        <v>29</v>
      </c>
      <c r="I161" t="s">
        <v>26</v>
      </c>
      <c r="J161" t="s">
        <v>58</v>
      </c>
      <c r="K161" t="s">
        <v>17</v>
      </c>
    </row>
    <row r="162" spans="1:11" x14ac:dyDescent="0.35">
      <c r="A162" t="s">
        <v>214</v>
      </c>
      <c r="B162" s="1" t="d">
        <v>2025-02-22</v>
      </c>
      <c r="C162" t="s">
        <v>19</v>
      </c>
      <c r="D162" t="s">
        <v>20</v>
      </c>
      <c r="E162">
        <v>100</v>
      </c>
      <c r="F162">
        <v>1</v>
      </c>
      <c r="G162">
        <v>100</v>
      </c>
      <c r="H162" t="s">
        <v>21</v>
      </c>
      <c r="I162" t="s">
        <v>68</v>
      </c>
      <c r="J162" t="s">
        <v>31</v>
      </c>
      <c r="K162" t="s">
        <v>40</v>
      </c>
    </row>
    <row r="163" spans="1:11" x14ac:dyDescent="0.35">
      <c r="A163" t="s">
        <v>215</v>
      </c>
      <c r="B163" s="1" t="d">
        <v>2025-02-09</v>
      </c>
      <c r="C163" t="s">
        <v>42</v>
      </c>
      <c r="D163" t="s">
        <v>20</v>
      </c>
      <c r="E163">
        <v>500</v>
      </c>
      <c r="F163">
        <v>2</v>
      </c>
      <c r="G163">
        <v>1000</v>
      </c>
      <c r="H163" t="s">
        <v>29</v>
      </c>
      <c r="I163" t="s">
        <v>81</v>
      </c>
      <c r="J163" t="s">
        <v>31</v>
      </c>
      <c r="K163" t="s">
        <v>40</v>
      </c>
    </row>
    <row r="164" spans="1:11" x14ac:dyDescent="0.35">
      <c r="A164" t="s">
        <v>216</v>
      </c>
      <c r="B164" s="1" t="d">
        <v>2025-02-20</v>
      </c>
      <c r="C164" t="s">
        <v>12</v>
      </c>
      <c r="D164" t="s">
        <v>13</v>
      </c>
      <c r="E164">
        <v>60</v>
      </c>
      <c r="F164">
        <v>2</v>
      </c>
      <c r="G164">
        <v>120</v>
      </c>
      <c r="H164" t="s">
        <v>72</v>
      </c>
      <c r="I164" t="s">
        <v>38</v>
      </c>
      <c r="J164" t="s">
        <v>39</v>
      </c>
      <c r="K164" t="s">
        <v>40</v>
      </c>
    </row>
    <row r="165" spans="1:11" x14ac:dyDescent="0.35">
      <c r="A165" t="s">
        <v>217</v>
      </c>
      <c r="B165" s="1" t="d">
        <v>2025-02-25</v>
      </c>
      <c r="C165" t="s">
        <v>33</v>
      </c>
      <c r="D165" t="s">
        <v>20</v>
      </c>
      <c r="E165">
        <v>150</v>
      </c>
      <c r="F165">
        <v>5</v>
      </c>
      <c r="G165">
        <v>750</v>
      </c>
      <c r="H165" t="s">
        <v>54</v>
      </c>
      <c r="I165" t="s">
        <v>46</v>
      </c>
      <c r="J165" t="s">
        <v>16</v>
      </c>
      <c r="K165" t="s">
        <v>23</v>
      </c>
    </row>
    <row r="166" spans="1:11" x14ac:dyDescent="0.35">
      <c r="A166" t="s">
        <v>218</v>
      </c>
      <c r="B166" s="1" t="d">
        <v>2025-03-14</v>
      </c>
      <c r="C166" t="s">
        <v>49</v>
      </c>
      <c r="D166" t="s">
        <v>50</v>
      </c>
      <c r="E166">
        <v>15</v>
      </c>
      <c r="F166">
        <v>1</v>
      </c>
      <c r="G166">
        <v>15</v>
      </c>
      <c r="H166" t="s">
        <v>51</v>
      </c>
      <c r="I166" t="s">
        <v>15</v>
      </c>
      <c r="J166" t="s">
        <v>27</v>
      </c>
      <c r="K166" t="s">
        <v>23</v>
      </c>
    </row>
    <row r="167" spans="1:11" x14ac:dyDescent="0.35">
      <c r="A167" t="s">
        <v>219</v>
      </c>
      <c r="B167" s="1" t="d">
        <v>2025-03-30</v>
      </c>
      <c r="C167" t="s">
        <v>60</v>
      </c>
      <c r="D167" t="s">
        <v>61</v>
      </c>
      <c r="E167">
        <v>600</v>
      </c>
      <c r="F167">
        <v>4</v>
      </c>
      <c r="G167">
        <v>2400</v>
      </c>
      <c r="H167" t="s">
        <v>72</v>
      </c>
      <c r="I167" t="s">
        <v>38</v>
      </c>
      <c r="J167" t="s">
        <v>31</v>
      </c>
      <c r="K167" t="s">
        <v>23</v>
      </c>
    </row>
    <row r="168" spans="1:11" x14ac:dyDescent="0.35">
      <c r="A168" t="s">
        <v>220</v>
      </c>
      <c r="B168" s="1" t="d">
        <v>2025-03-20</v>
      </c>
      <c r="C168" t="s">
        <v>65</v>
      </c>
      <c r="D168" t="s">
        <v>61</v>
      </c>
      <c r="E168">
        <v>1200</v>
      </c>
      <c r="F168">
        <v>2</v>
      </c>
      <c r="G168">
        <v>2400</v>
      </c>
      <c r="H168" t="s">
        <v>29</v>
      </c>
      <c r="I168" t="s">
        <v>63</v>
      </c>
      <c r="J168" t="s">
        <v>31</v>
      </c>
      <c r="K168" t="s">
        <v>40</v>
      </c>
    </row>
    <row r="169" spans="1:11" x14ac:dyDescent="0.35">
      <c r="A169" t="s">
        <v>221</v>
      </c>
      <c r="B169" s="1" t="d">
        <v>2025-03-24</v>
      </c>
      <c r="C169" t="s">
        <v>56</v>
      </c>
      <c r="D169" t="s">
        <v>20</v>
      </c>
      <c r="E169">
        <v>800</v>
      </c>
      <c r="F169">
        <v>5</v>
      </c>
      <c r="G169">
        <v>4000</v>
      </c>
      <c r="H169" t="s">
        <v>54</v>
      </c>
      <c r="I169" t="s">
        <v>44</v>
      </c>
      <c r="J169" t="s">
        <v>16</v>
      </c>
      <c r="K169" t="s">
        <v>23</v>
      </c>
    </row>
    <row r="170" spans="1:11" x14ac:dyDescent="0.35">
      <c r="A170" t="s">
        <v>222</v>
      </c>
      <c r="B170" s="1" t="d">
        <v>2025-03-06</v>
      </c>
      <c r="C170" t="s">
        <v>65</v>
      </c>
      <c r="D170" t="s">
        <v>61</v>
      </c>
      <c r="E170">
        <v>1200</v>
      </c>
      <c r="F170">
        <v>2</v>
      </c>
      <c r="G170">
        <v>2400</v>
      </c>
      <c r="H170" t="s">
        <v>25</v>
      </c>
      <c r="I170" t="s">
        <v>26</v>
      </c>
      <c r="J170" t="s">
        <v>39</v>
      </c>
      <c r="K170" t="s">
        <v>40</v>
      </c>
    </row>
    <row r="171" spans="1:11" x14ac:dyDescent="0.35">
      <c r="A171" t="s">
        <v>223</v>
      </c>
      <c r="B171" s="1" t="d">
        <v>2025-02-28</v>
      </c>
      <c r="C171" t="s">
        <v>56</v>
      </c>
      <c r="D171" t="s">
        <v>20</v>
      </c>
      <c r="E171">
        <v>800</v>
      </c>
      <c r="F171">
        <v>1</v>
      </c>
      <c r="G171">
        <v>800</v>
      </c>
      <c r="H171" t="s">
        <v>14</v>
      </c>
      <c r="I171" t="s">
        <v>22</v>
      </c>
      <c r="J171" t="s">
        <v>58</v>
      </c>
      <c r="K171" t="s">
        <v>23</v>
      </c>
    </row>
    <row r="172" spans="1:11" x14ac:dyDescent="0.35">
      <c r="A172" t="s">
        <v>224</v>
      </c>
      <c r="B172" s="1" t="d">
        <v>2025-02-28</v>
      </c>
      <c r="C172" t="s">
        <v>33</v>
      </c>
      <c r="D172" t="s">
        <v>20</v>
      </c>
      <c r="E172">
        <v>150</v>
      </c>
      <c r="F172">
        <v>2</v>
      </c>
      <c r="G172">
        <v>300</v>
      </c>
      <c r="H172" t="s">
        <v>57</v>
      </c>
      <c r="I172" t="s">
        <v>38</v>
      </c>
      <c r="J172" t="s">
        <v>39</v>
      </c>
      <c r="K172" t="s">
        <v>40</v>
      </c>
    </row>
    <row r="173" spans="1:11" x14ac:dyDescent="0.35">
      <c r="A173" t="s">
        <v>225</v>
      </c>
      <c r="B173" s="1" t="d">
        <v>2025-03-12</v>
      </c>
      <c r="C173" t="s">
        <v>49</v>
      </c>
      <c r="D173" t="s">
        <v>50</v>
      </c>
      <c r="E173">
        <v>15</v>
      </c>
      <c r="F173">
        <v>1</v>
      </c>
      <c r="G173">
        <v>15</v>
      </c>
      <c r="H173" t="s">
        <v>51</v>
      </c>
      <c r="I173" t="s">
        <v>44</v>
      </c>
      <c r="J173" t="s">
        <v>16</v>
      </c>
      <c r="K173" t="s">
        <v>17</v>
      </c>
    </row>
    <row r="174" spans="1:11" x14ac:dyDescent="0.35">
      <c r="A174" t="s">
        <v>226</v>
      </c>
      <c r="B174" s="1" t="d">
        <v>2025-02-28</v>
      </c>
      <c r="C174" t="s">
        <v>65</v>
      </c>
      <c r="D174" t="s">
        <v>61</v>
      </c>
      <c r="E174">
        <v>1200</v>
      </c>
      <c r="F174">
        <v>1</v>
      </c>
      <c r="G174">
        <v>1200</v>
      </c>
      <c r="H174" t="s">
        <v>29</v>
      </c>
      <c r="I174" t="s">
        <v>63</v>
      </c>
      <c r="J174" t="s">
        <v>39</v>
      </c>
      <c r="K174" t="s">
        <v>40</v>
      </c>
    </row>
    <row r="175" spans="1:11" x14ac:dyDescent="0.35">
      <c r="A175" t="s">
        <v>227</v>
      </c>
      <c r="B175" s="1" t="d">
        <v>2025-03-13</v>
      </c>
      <c r="C175" t="s">
        <v>33</v>
      </c>
      <c r="D175" t="s">
        <v>20</v>
      </c>
      <c r="E175">
        <v>150</v>
      </c>
      <c r="F175">
        <v>2</v>
      </c>
      <c r="G175">
        <v>300</v>
      </c>
      <c r="H175" t="s">
        <v>51</v>
      </c>
      <c r="I175" t="s">
        <v>81</v>
      </c>
      <c r="J175" t="s">
        <v>16</v>
      </c>
      <c r="K175" t="s">
        <v>23</v>
      </c>
    </row>
    <row r="176" spans="1:11" x14ac:dyDescent="0.35">
      <c r="A176" t="s">
        <v>228</v>
      </c>
      <c r="B176" s="1" t="d">
        <v>2025-03-24</v>
      </c>
      <c r="C176" t="s">
        <v>53</v>
      </c>
      <c r="D176" t="s">
        <v>36</v>
      </c>
      <c r="E176">
        <v>40</v>
      </c>
      <c r="F176">
        <v>5</v>
      </c>
      <c r="G176">
        <v>200</v>
      </c>
      <c r="H176" t="s">
        <v>51</v>
      </c>
      <c r="I176" t="s">
        <v>15</v>
      </c>
      <c r="J176" t="s">
        <v>16</v>
      </c>
      <c r="K176" t="s">
        <v>17</v>
      </c>
    </row>
    <row r="177" spans="1:11" x14ac:dyDescent="0.35">
      <c r="A177" t="s">
        <v>229</v>
      </c>
      <c r="B177" s="1" t="d">
        <v>2025-03-27</v>
      </c>
      <c r="C177" t="s">
        <v>49</v>
      </c>
      <c r="D177" t="s">
        <v>50</v>
      </c>
      <c r="E177">
        <v>15</v>
      </c>
      <c r="F177">
        <v>1</v>
      </c>
      <c r="G177">
        <v>15</v>
      </c>
      <c r="H177" t="s">
        <v>54</v>
      </c>
      <c r="I177" t="s">
        <v>46</v>
      </c>
      <c r="J177" t="s">
        <v>27</v>
      </c>
      <c r="K177" t="s">
        <v>40</v>
      </c>
    </row>
    <row r="178" spans="1:11" x14ac:dyDescent="0.35">
      <c r="A178" t="s">
        <v>230</v>
      </c>
      <c r="B178" s="1" t="d">
        <v>2025-03-14</v>
      </c>
      <c r="C178" t="s">
        <v>49</v>
      </c>
      <c r="D178" t="s">
        <v>50</v>
      </c>
      <c r="E178">
        <v>15</v>
      </c>
      <c r="F178">
        <v>5</v>
      </c>
      <c r="G178">
        <v>75</v>
      </c>
      <c r="H178" t="s">
        <v>51</v>
      </c>
      <c r="I178" t="s">
        <v>22</v>
      </c>
      <c r="J178" t="s">
        <v>31</v>
      </c>
      <c r="K178" t="s">
        <v>23</v>
      </c>
    </row>
    <row r="179" spans="1:11" x14ac:dyDescent="0.35">
      <c r="A179" t="s">
        <v>231</v>
      </c>
      <c r="B179" s="1" t="d">
        <v>2025-02-06</v>
      </c>
      <c r="C179" t="s">
        <v>42</v>
      </c>
      <c r="D179" t="s">
        <v>20</v>
      </c>
      <c r="E179">
        <v>500</v>
      </c>
      <c r="F179">
        <v>3</v>
      </c>
      <c r="G179">
        <v>1500</v>
      </c>
      <c r="H179" t="s">
        <v>21</v>
      </c>
      <c r="I179" t="s">
        <v>81</v>
      </c>
      <c r="J179" t="s">
        <v>39</v>
      </c>
      <c r="K179" t="s">
        <v>40</v>
      </c>
    </row>
    <row r="180" spans="1:11" x14ac:dyDescent="0.35">
      <c r="A180" t="s">
        <v>232</v>
      </c>
      <c r="B180" s="1" t="d">
        <v>2025-03-25</v>
      </c>
      <c r="C180" t="s">
        <v>53</v>
      </c>
      <c r="D180" t="s">
        <v>36</v>
      </c>
      <c r="E180">
        <v>40</v>
      </c>
      <c r="F180">
        <v>1</v>
      </c>
      <c r="G180">
        <v>40</v>
      </c>
      <c r="H180" t="s">
        <v>29</v>
      </c>
      <c r="I180" t="s">
        <v>63</v>
      </c>
      <c r="J180" t="s">
        <v>39</v>
      </c>
      <c r="K180" t="s">
        <v>17</v>
      </c>
    </row>
    <row r="181" spans="1:11" x14ac:dyDescent="0.35">
      <c r="A181" t="s">
        <v>233</v>
      </c>
      <c r="B181" s="1" t="d">
        <v>2025-03-04</v>
      </c>
      <c r="C181" t="s">
        <v>65</v>
      </c>
      <c r="D181" t="s">
        <v>61</v>
      </c>
      <c r="E181">
        <v>1200</v>
      </c>
      <c r="F181">
        <v>3</v>
      </c>
      <c r="G181">
        <v>3600</v>
      </c>
      <c r="H181" t="s">
        <v>51</v>
      </c>
      <c r="I181" t="s">
        <v>46</v>
      </c>
      <c r="J181" t="s">
        <v>58</v>
      </c>
      <c r="K181" t="s">
        <v>40</v>
      </c>
    </row>
    <row r="182" spans="1:11" x14ac:dyDescent="0.35">
      <c r="A182" t="s">
        <v>234</v>
      </c>
      <c r="B182" s="1" t="d">
        <v>2025-03-03</v>
      </c>
      <c r="C182" t="s">
        <v>12</v>
      </c>
      <c r="D182" t="s">
        <v>13</v>
      </c>
      <c r="E182">
        <v>60</v>
      </c>
      <c r="F182">
        <v>2</v>
      </c>
      <c r="G182">
        <v>120</v>
      </c>
      <c r="H182" t="s">
        <v>51</v>
      </c>
      <c r="I182" t="s">
        <v>68</v>
      </c>
      <c r="J182" t="s">
        <v>16</v>
      </c>
      <c r="K182" t="s">
        <v>17</v>
      </c>
    </row>
    <row r="183" spans="1:11" x14ac:dyDescent="0.35">
      <c r="A183" t="s">
        <v>235</v>
      </c>
      <c r="B183" s="1" t="d">
        <v>2025-04-02</v>
      </c>
      <c r="C183" t="s">
        <v>35</v>
      </c>
      <c r="D183" t="s">
        <v>36</v>
      </c>
      <c r="E183">
        <v>20</v>
      </c>
      <c r="F183">
        <v>5</v>
      </c>
      <c r="G183">
        <v>100</v>
      </c>
      <c r="H183" t="s">
        <v>14</v>
      </c>
      <c r="I183" t="s">
        <v>26</v>
      </c>
      <c r="J183" t="s">
        <v>39</v>
      </c>
      <c r="K183" t="s">
        <v>40</v>
      </c>
    </row>
    <row r="184" spans="1:11" x14ac:dyDescent="0.35">
      <c r="A184" t="s">
        <v>236</v>
      </c>
      <c r="B184" s="1" t="d">
        <v>2025-03-25</v>
      </c>
      <c r="C184" t="s">
        <v>60</v>
      </c>
      <c r="D184" t="s">
        <v>61</v>
      </c>
      <c r="E184">
        <v>600</v>
      </c>
      <c r="F184">
        <v>1</v>
      </c>
      <c r="G184">
        <v>600</v>
      </c>
      <c r="H184" t="s">
        <v>14</v>
      </c>
      <c r="I184" t="s">
        <v>63</v>
      </c>
      <c r="J184" t="s">
        <v>16</v>
      </c>
      <c r="K184" t="s">
        <v>23</v>
      </c>
    </row>
    <row r="185" spans="1:11" x14ac:dyDescent="0.35">
      <c r="A185" t="s">
        <v>237</v>
      </c>
      <c r="B185" s="1" t="d">
        <v>2025-02-17</v>
      </c>
      <c r="C185" t="s">
        <v>49</v>
      </c>
      <c r="D185" t="s">
        <v>50</v>
      </c>
      <c r="E185">
        <v>15</v>
      </c>
      <c r="F185">
        <v>5</v>
      </c>
      <c r="G185">
        <v>75</v>
      </c>
      <c r="H185" t="s">
        <v>57</v>
      </c>
      <c r="I185" t="s">
        <v>44</v>
      </c>
      <c r="J185" t="s">
        <v>16</v>
      </c>
      <c r="K185" t="s">
        <v>23</v>
      </c>
    </row>
    <row r="186" spans="1:11" x14ac:dyDescent="0.35">
      <c r="A186" t="s">
        <v>238</v>
      </c>
      <c r="B186" s="1" t="d">
        <v>2025-03-22</v>
      </c>
      <c r="C186" t="s">
        <v>35</v>
      </c>
      <c r="D186" t="s">
        <v>36</v>
      </c>
      <c r="E186">
        <v>20</v>
      </c>
      <c r="F186">
        <v>1</v>
      </c>
      <c r="G186">
        <v>20</v>
      </c>
      <c r="H186" t="s">
        <v>72</v>
      </c>
      <c r="I186" t="s">
        <v>30</v>
      </c>
      <c r="J186" t="s">
        <v>16</v>
      </c>
      <c r="K186" t="s">
        <v>40</v>
      </c>
    </row>
    <row r="187" spans="1:11" x14ac:dyDescent="0.35">
      <c r="A187" t="s">
        <v>239</v>
      </c>
      <c r="B187" s="1" t="d">
        <v>2025-03-02</v>
      </c>
      <c r="C187" t="s">
        <v>60</v>
      </c>
      <c r="D187" t="s">
        <v>61</v>
      </c>
      <c r="E187">
        <v>600</v>
      </c>
      <c r="F187">
        <v>4</v>
      </c>
      <c r="G187">
        <v>2400</v>
      </c>
      <c r="H187" t="s">
        <v>54</v>
      </c>
      <c r="I187" t="s">
        <v>15</v>
      </c>
      <c r="J187" t="s">
        <v>39</v>
      </c>
      <c r="K187" t="s">
        <v>40</v>
      </c>
    </row>
    <row r="188" spans="1:11" x14ac:dyDescent="0.35">
      <c r="A188" t="s">
        <v>240</v>
      </c>
      <c r="B188" s="1" t="d">
        <v>2025-03-13</v>
      </c>
      <c r="C188" t="s">
        <v>56</v>
      </c>
      <c r="D188" t="s">
        <v>20</v>
      </c>
      <c r="E188">
        <v>800</v>
      </c>
      <c r="F188">
        <v>3</v>
      </c>
      <c r="G188">
        <v>2400</v>
      </c>
      <c r="H188" t="s">
        <v>25</v>
      </c>
      <c r="I188" t="s">
        <v>15</v>
      </c>
      <c r="J188" t="s">
        <v>39</v>
      </c>
      <c r="K188" t="s">
        <v>23</v>
      </c>
    </row>
    <row r="189" spans="1:11" x14ac:dyDescent="0.35">
      <c r="A189" t="s">
        <v>241</v>
      </c>
      <c r="B189" s="1" t="d">
        <v>2025-02-14</v>
      </c>
      <c r="C189" t="s">
        <v>49</v>
      </c>
      <c r="D189" t="s">
        <v>50</v>
      </c>
      <c r="E189">
        <v>15</v>
      </c>
      <c r="F189">
        <v>1</v>
      </c>
      <c r="G189">
        <v>15</v>
      </c>
      <c r="H189" t="s">
        <v>25</v>
      </c>
      <c r="I189" t="s">
        <v>46</v>
      </c>
      <c r="J189" t="s">
        <v>27</v>
      </c>
      <c r="K189" t="s">
        <v>40</v>
      </c>
    </row>
    <row r="190" spans="1:11" x14ac:dyDescent="0.35">
      <c r="A190" t="s">
        <v>242</v>
      </c>
      <c r="B190" s="1" t="d">
        <v>2025-02-10</v>
      </c>
      <c r="C190" t="s">
        <v>56</v>
      </c>
      <c r="D190" t="s">
        <v>20</v>
      </c>
      <c r="E190">
        <v>800</v>
      </c>
      <c r="F190">
        <v>3</v>
      </c>
      <c r="G190">
        <v>2400</v>
      </c>
      <c r="H190" t="s">
        <v>80</v>
      </c>
      <c r="I190" t="s">
        <v>38</v>
      </c>
      <c r="J190" t="s">
        <v>27</v>
      </c>
      <c r="K190" t="s">
        <v>40</v>
      </c>
    </row>
    <row r="191" spans="1:11" x14ac:dyDescent="0.35">
      <c r="A191" t="s">
        <v>243</v>
      </c>
      <c r="B191" s="1" t="d">
        <v>2025-02-23</v>
      </c>
      <c r="C191" t="s">
        <v>12</v>
      </c>
      <c r="D191" t="s">
        <v>13</v>
      </c>
      <c r="E191">
        <v>60</v>
      </c>
      <c r="F191">
        <v>1</v>
      </c>
      <c r="G191">
        <v>60</v>
      </c>
      <c r="H191" t="s">
        <v>43</v>
      </c>
      <c r="I191" t="s">
        <v>38</v>
      </c>
      <c r="J191" t="s">
        <v>39</v>
      </c>
      <c r="K191" t="s">
        <v>40</v>
      </c>
    </row>
    <row r="192" spans="1:11" x14ac:dyDescent="0.35">
      <c r="A192" t="s">
        <v>244</v>
      </c>
      <c r="B192" s="1" t="d">
        <v>2025-02-28</v>
      </c>
      <c r="C192" t="s">
        <v>53</v>
      </c>
      <c r="D192" t="s">
        <v>36</v>
      </c>
      <c r="E192">
        <v>40</v>
      </c>
      <c r="F192">
        <v>4</v>
      </c>
      <c r="G192">
        <v>160</v>
      </c>
      <c r="H192" t="s">
        <v>25</v>
      </c>
      <c r="I192" t="s">
        <v>63</v>
      </c>
      <c r="J192" t="s">
        <v>27</v>
      </c>
      <c r="K192" t="s">
        <v>23</v>
      </c>
    </row>
    <row r="193" spans="1:11" x14ac:dyDescent="0.35">
      <c r="A193" t="s">
        <v>245</v>
      </c>
      <c r="B193" s="1" t="d">
        <v>2025-03-31</v>
      </c>
      <c r="C193" t="s">
        <v>19</v>
      </c>
      <c r="D193" t="s">
        <v>20</v>
      </c>
      <c r="E193">
        <v>100</v>
      </c>
      <c r="F193">
        <v>3</v>
      </c>
      <c r="G193">
        <v>300</v>
      </c>
      <c r="H193" t="s">
        <v>43</v>
      </c>
      <c r="I193" t="s">
        <v>30</v>
      </c>
      <c r="J193" t="s">
        <v>58</v>
      </c>
      <c r="K193" t="s">
        <v>23</v>
      </c>
    </row>
    <row r="194" spans="1:11" x14ac:dyDescent="0.35">
      <c r="A194" t="s">
        <v>246</v>
      </c>
      <c r="B194" s="1" t="d">
        <v>2025-03-30</v>
      </c>
      <c r="C194" t="s">
        <v>49</v>
      </c>
      <c r="D194" t="s">
        <v>50</v>
      </c>
      <c r="E194">
        <v>15</v>
      </c>
      <c r="F194">
        <v>5</v>
      </c>
      <c r="G194">
        <v>75</v>
      </c>
      <c r="H194" t="s">
        <v>51</v>
      </c>
      <c r="I194" t="s">
        <v>81</v>
      </c>
      <c r="J194" t="s">
        <v>27</v>
      </c>
      <c r="K194" t="s">
        <v>23</v>
      </c>
    </row>
    <row r="195" spans="1:11" x14ac:dyDescent="0.35">
      <c r="A195" t="s">
        <v>247</v>
      </c>
      <c r="B195" s="1" t="d">
        <v>2025-02-20</v>
      </c>
      <c r="C195" t="s">
        <v>53</v>
      </c>
      <c r="D195" t="s">
        <v>36</v>
      </c>
      <c r="E195">
        <v>40</v>
      </c>
      <c r="F195">
        <v>4</v>
      </c>
      <c r="G195">
        <v>160</v>
      </c>
      <c r="H195" t="s">
        <v>25</v>
      </c>
      <c r="I195" t="s">
        <v>22</v>
      </c>
      <c r="J195" t="s">
        <v>16</v>
      </c>
      <c r="K195" t="s">
        <v>17</v>
      </c>
    </row>
    <row r="196" spans="1:11" x14ac:dyDescent="0.35">
      <c r="A196" t="s">
        <v>248</v>
      </c>
      <c r="B196" s="1" t="d">
        <v>2025-03-10</v>
      </c>
      <c r="C196" t="s">
        <v>42</v>
      </c>
      <c r="D196" t="s">
        <v>20</v>
      </c>
      <c r="E196">
        <v>500</v>
      </c>
      <c r="F196">
        <v>3</v>
      </c>
      <c r="G196">
        <v>1500</v>
      </c>
      <c r="H196" t="s">
        <v>29</v>
      </c>
      <c r="I196" t="s">
        <v>26</v>
      </c>
      <c r="J196" t="s">
        <v>58</v>
      </c>
      <c r="K196" t="s">
        <v>17</v>
      </c>
    </row>
    <row r="197" spans="1:11" x14ac:dyDescent="0.35">
      <c r="A197" t="s">
        <v>249</v>
      </c>
      <c r="B197" s="1" t="d">
        <v>2025-03-04</v>
      </c>
      <c r="C197" t="s">
        <v>19</v>
      </c>
      <c r="D197" t="s">
        <v>20</v>
      </c>
      <c r="E197">
        <v>100</v>
      </c>
      <c r="F197">
        <v>5</v>
      </c>
      <c r="G197">
        <v>500</v>
      </c>
      <c r="H197" t="s">
        <v>57</v>
      </c>
      <c r="I197" t="s">
        <v>63</v>
      </c>
      <c r="J197" t="s">
        <v>16</v>
      </c>
      <c r="K197" t="s">
        <v>23</v>
      </c>
    </row>
    <row r="198" spans="1:11" x14ac:dyDescent="0.35">
      <c r="A198" t="s">
        <v>250</v>
      </c>
      <c r="B198" s="1" t="d">
        <v>2025-03-12</v>
      </c>
      <c r="C198" t="s">
        <v>12</v>
      </c>
      <c r="D198" t="s">
        <v>13</v>
      </c>
      <c r="E198">
        <v>60</v>
      </c>
      <c r="F198">
        <v>2</v>
      </c>
      <c r="G198">
        <v>120</v>
      </c>
      <c r="H198" t="s">
        <v>54</v>
      </c>
      <c r="I198" t="s">
        <v>26</v>
      </c>
      <c r="J198" t="s">
        <v>58</v>
      </c>
      <c r="K198" t="s">
        <v>40</v>
      </c>
    </row>
    <row r="199" spans="1:11" x14ac:dyDescent="0.35">
      <c r="A199" t="s">
        <v>251</v>
      </c>
      <c r="B199" s="1" t="d">
        <v>2025-02-20</v>
      </c>
      <c r="C199" t="s">
        <v>56</v>
      </c>
      <c r="D199" t="s">
        <v>20</v>
      </c>
      <c r="E199">
        <v>800</v>
      </c>
      <c r="F199">
        <v>4</v>
      </c>
      <c r="G199">
        <v>3200</v>
      </c>
      <c r="H199" t="s">
        <v>80</v>
      </c>
      <c r="I199" t="s">
        <v>63</v>
      </c>
      <c r="J199" t="s">
        <v>27</v>
      </c>
      <c r="K199" t="s">
        <v>23</v>
      </c>
    </row>
    <row r="200" spans="1:11" x14ac:dyDescent="0.35">
      <c r="A200" t="s">
        <v>252</v>
      </c>
      <c r="B200" s="1" t="d">
        <v>2025-02-22</v>
      </c>
      <c r="C200" t="s">
        <v>42</v>
      </c>
      <c r="D200" t="s">
        <v>20</v>
      </c>
      <c r="E200">
        <v>500</v>
      </c>
      <c r="F200">
        <v>3</v>
      </c>
      <c r="G200">
        <v>1500</v>
      </c>
      <c r="H200" t="s">
        <v>72</v>
      </c>
      <c r="I200" t="s">
        <v>30</v>
      </c>
      <c r="J200" t="s">
        <v>31</v>
      </c>
      <c r="K200" t="s">
        <v>40</v>
      </c>
    </row>
    <row r="201" spans="1:11" x14ac:dyDescent="0.35">
      <c r="A201" t="s">
        <v>253</v>
      </c>
      <c r="B201" s="1" t="d">
        <v>2025-02-10</v>
      </c>
      <c r="C201" t="s">
        <v>49</v>
      </c>
      <c r="D201" t="s">
        <v>50</v>
      </c>
      <c r="E201">
        <v>15</v>
      </c>
      <c r="F201">
        <v>2</v>
      </c>
      <c r="G201">
        <v>30</v>
      </c>
      <c r="H201" t="s">
        <v>72</v>
      </c>
      <c r="I201" t="s">
        <v>68</v>
      </c>
      <c r="J201" t="s">
        <v>16</v>
      </c>
      <c r="K201" t="s">
        <v>40</v>
      </c>
    </row>
    <row r="202" spans="1:11" x14ac:dyDescent="0.35">
      <c r="A202" t="s">
        <v>254</v>
      </c>
      <c r="B202" s="1" t="d">
        <v>2025-02-03</v>
      </c>
      <c r="C202" t="s">
        <v>49</v>
      </c>
      <c r="D202" t="s">
        <v>50</v>
      </c>
      <c r="E202">
        <v>15</v>
      </c>
      <c r="F202">
        <v>4</v>
      </c>
      <c r="G202">
        <v>60</v>
      </c>
      <c r="H202" t="s">
        <v>54</v>
      </c>
      <c r="I202" t="s">
        <v>22</v>
      </c>
      <c r="J202" t="s">
        <v>31</v>
      </c>
      <c r="K202" t="s">
        <v>40</v>
      </c>
    </row>
    <row r="203" spans="1:11" x14ac:dyDescent="0.35">
      <c r="A203" t="s">
        <v>255</v>
      </c>
      <c r="B203" s="1" t="d">
        <v>2025-02-21</v>
      </c>
      <c r="C203" t="s">
        <v>42</v>
      </c>
      <c r="D203" t="s">
        <v>20</v>
      </c>
      <c r="E203">
        <v>500</v>
      </c>
      <c r="F203">
        <v>2</v>
      </c>
      <c r="G203">
        <v>1000</v>
      </c>
      <c r="H203" t="s">
        <v>57</v>
      </c>
      <c r="I203" t="s">
        <v>44</v>
      </c>
      <c r="J203" t="s">
        <v>31</v>
      </c>
      <c r="K203" t="s">
        <v>17</v>
      </c>
    </row>
    <row r="204" spans="1:11" x14ac:dyDescent="0.35">
      <c r="A204" t="s">
        <v>256</v>
      </c>
      <c r="B204" s="1" t="d">
        <v>2025-02-21</v>
      </c>
      <c r="C204" t="s">
        <v>65</v>
      </c>
      <c r="D204" t="s">
        <v>61</v>
      </c>
      <c r="E204">
        <v>1200</v>
      </c>
      <c r="F204">
        <v>3</v>
      </c>
      <c r="G204">
        <v>3600</v>
      </c>
      <c r="H204" t="s">
        <v>25</v>
      </c>
      <c r="I204" t="s">
        <v>30</v>
      </c>
      <c r="J204" t="s">
        <v>16</v>
      </c>
      <c r="K204" t="s">
        <v>40</v>
      </c>
    </row>
    <row r="205" spans="1:11" x14ac:dyDescent="0.35">
      <c r="A205" t="s">
        <v>257</v>
      </c>
      <c r="B205" s="1" t="d">
        <v>2025-03-08</v>
      </c>
      <c r="C205" t="s">
        <v>12</v>
      </c>
      <c r="D205" t="s">
        <v>13</v>
      </c>
      <c r="E205">
        <v>60</v>
      </c>
      <c r="F205">
        <v>5</v>
      </c>
      <c r="G205">
        <v>300</v>
      </c>
      <c r="H205" t="s">
        <v>80</v>
      </c>
      <c r="I205" t="s">
        <v>44</v>
      </c>
      <c r="J205" t="s">
        <v>58</v>
      </c>
      <c r="K205" t="s">
        <v>23</v>
      </c>
    </row>
    <row r="206" spans="1:11" x14ac:dyDescent="0.35">
      <c r="A206" t="s">
        <v>258</v>
      </c>
      <c r="B206" s="1" t="d">
        <v>2025-02-27</v>
      </c>
      <c r="C206" t="s">
        <v>19</v>
      </c>
      <c r="D206" t="s">
        <v>20</v>
      </c>
      <c r="E206">
        <v>100</v>
      </c>
      <c r="F206">
        <v>2</v>
      </c>
      <c r="G206">
        <v>200</v>
      </c>
      <c r="H206" t="s">
        <v>51</v>
      </c>
      <c r="I206" t="s">
        <v>38</v>
      </c>
      <c r="J206" t="s">
        <v>39</v>
      </c>
      <c r="K206" t="s">
        <v>40</v>
      </c>
    </row>
    <row r="207" spans="1:11" x14ac:dyDescent="0.35">
      <c r="A207" t="s">
        <v>259</v>
      </c>
      <c r="B207" s="1" t="d">
        <v>2025-02-12</v>
      </c>
      <c r="C207" t="s">
        <v>60</v>
      </c>
      <c r="D207" t="s">
        <v>61</v>
      </c>
      <c r="E207">
        <v>600</v>
      </c>
      <c r="F207">
        <v>5</v>
      </c>
      <c r="G207">
        <v>3000</v>
      </c>
      <c r="H207" t="s">
        <v>14</v>
      </c>
      <c r="I207" t="s">
        <v>44</v>
      </c>
      <c r="J207" t="s">
        <v>27</v>
      </c>
      <c r="K207" t="s">
        <v>23</v>
      </c>
    </row>
    <row r="208" spans="1:11" x14ac:dyDescent="0.35">
      <c r="A208" t="s">
        <v>260</v>
      </c>
      <c r="B208" s="1" t="d">
        <v>2025-03-21</v>
      </c>
      <c r="C208" t="s">
        <v>60</v>
      </c>
      <c r="D208" t="s">
        <v>61</v>
      </c>
      <c r="E208">
        <v>600</v>
      </c>
      <c r="F208">
        <v>1</v>
      </c>
      <c r="G208">
        <v>600</v>
      </c>
      <c r="H208" t="s">
        <v>25</v>
      </c>
      <c r="I208" t="s">
        <v>44</v>
      </c>
      <c r="J208" t="s">
        <v>31</v>
      </c>
      <c r="K208" t="s">
        <v>40</v>
      </c>
    </row>
    <row r="209" spans="1:11" x14ac:dyDescent="0.35">
      <c r="A209" t="s">
        <v>261</v>
      </c>
      <c r="B209" s="1" t="d">
        <v>2025-02-02</v>
      </c>
      <c r="C209" t="s">
        <v>65</v>
      </c>
      <c r="D209" t="s">
        <v>61</v>
      </c>
      <c r="E209">
        <v>1200</v>
      </c>
      <c r="F209">
        <v>3</v>
      </c>
      <c r="G209">
        <v>3600</v>
      </c>
      <c r="H209" t="s">
        <v>25</v>
      </c>
      <c r="I209" t="s">
        <v>44</v>
      </c>
      <c r="J209" t="s">
        <v>39</v>
      </c>
      <c r="K209" t="s">
        <v>40</v>
      </c>
    </row>
    <row r="210" spans="1:11" x14ac:dyDescent="0.35">
      <c r="A210" t="s">
        <v>262</v>
      </c>
      <c r="B210" s="1" t="d">
        <v>2025-03-29</v>
      </c>
      <c r="C210" t="s">
        <v>53</v>
      </c>
      <c r="D210" t="s">
        <v>36</v>
      </c>
      <c r="E210">
        <v>40</v>
      </c>
      <c r="F210">
        <v>5</v>
      </c>
      <c r="G210">
        <v>200</v>
      </c>
      <c r="H210" t="s">
        <v>57</v>
      </c>
      <c r="I210" t="s">
        <v>30</v>
      </c>
      <c r="J210" t="s">
        <v>39</v>
      </c>
      <c r="K210" t="s">
        <v>40</v>
      </c>
    </row>
    <row r="211" spans="1:11" x14ac:dyDescent="0.35">
      <c r="A211" t="s">
        <v>263</v>
      </c>
      <c r="B211" s="1" t="d">
        <v>2025-03-23</v>
      </c>
      <c r="C211" t="s">
        <v>56</v>
      </c>
      <c r="D211" t="s">
        <v>20</v>
      </c>
      <c r="E211">
        <v>800</v>
      </c>
      <c r="F211">
        <v>3</v>
      </c>
      <c r="G211">
        <v>2400</v>
      </c>
      <c r="H211" t="s">
        <v>80</v>
      </c>
      <c r="I211" t="s">
        <v>15</v>
      </c>
      <c r="J211" t="s">
        <v>39</v>
      </c>
      <c r="K211" t="s">
        <v>40</v>
      </c>
    </row>
    <row r="212" spans="1:11" x14ac:dyDescent="0.35">
      <c r="A212" t="s">
        <v>264</v>
      </c>
      <c r="B212" s="1" t="d">
        <v>2025-03-13</v>
      </c>
      <c r="C212" t="s">
        <v>42</v>
      </c>
      <c r="D212" t="s">
        <v>20</v>
      </c>
      <c r="E212">
        <v>500</v>
      </c>
      <c r="F212">
        <v>1</v>
      </c>
      <c r="G212">
        <v>500</v>
      </c>
      <c r="H212" t="s">
        <v>51</v>
      </c>
      <c r="I212" t="s">
        <v>44</v>
      </c>
      <c r="J212" t="s">
        <v>58</v>
      </c>
      <c r="K212" t="s">
        <v>23</v>
      </c>
    </row>
    <row r="213" spans="1:11" x14ac:dyDescent="0.35">
      <c r="A213" t="s">
        <v>265</v>
      </c>
      <c r="B213" s="1" t="d">
        <v>2025-03-09</v>
      </c>
      <c r="C213" t="s">
        <v>35</v>
      </c>
      <c r="D213" t="s">
        <v>36</v>
      </c>
      <c r="E213">
        <v>20</v>
      </c>
      <c r="F213">
        <v>4</v>
      </c>
      <c r="G213">
        <v>80</v>
      </c>
      <c r="H213" t="s">
        <v>14</v>
      </c>
      <c r="I213" t="s">
        <v>38</v>
      </c>
      <c r="J213" t="s">
        <v>16</v>
      </c>
      <c r="K213" t="s">
        <v>40</v>
      </c>
    </row>
    <row r="214" spans="1:11" x14ac:dyDescent="0.35">
      <c r="A214" t="s">
        <v>266</v>
      </c>
      <c r="B214" s="1" t="d">
        <v>2025-02-06</v>
      </c>
      <c r="C214" t="s">
        <v>56</v>
      </c>
      <c r="D214" t="s">
        <v>20</v>
      </c>
      <c r="E214">
        <v>800</v>
      </c>
      <c r="F214">
        <v>1</v>
      </c>
      <c r="G214">
        <v>800</v>
      </c>
      <c r="H214" t="s">
        <v>80</v>
      </c>
      <c r="I214" t="s">
        <v>68</v>
      </c>
      <c r="J214" t="s">
        <v>27</v>
      </c>
      <c r="K214" t="s">
        <v>17</v>
      </c>
    </row>
    <row r="215" spans="1:11" x14ac:dyDescent="0.35">
      <c r="A215" t="s">
        <v>267</v>
      </c>
      <c r="B215" s="1" t="d">
        <v>2025-02-18</v>
      </c>
      <c r="C215" t="s">
        <v>33</v>
      </c>
      <c r="D215" t="s">
        <v>20</v>
      </c>
      <c r="E215">
        <v>150</v>
      </c>
      <c r="F215">
        <v>5</v>
      </c>
      <c r="G215">
        <v>750</v>
      </c>
      <c r="H215" t="s">
        <v>21</v>
      </c>
      <c r="I215" t="s">
        <v>38</v>
      </c>
      <c r="J215" t="s">
        <v>16</v>
      </c>
      <c r="K215" t="s">
        <v>40</v>
      </c>
    </row>
    <row r="216" spans="1:11" x14ac:dyDescent="0.35">
      <c r="A216" t="s">
        <v>268</v>
      </c>
      <c r="B216" s="1" t="d">
        <v>2025-03-07</v>
      </c>
      <c r="C216" t="s">
        <v>12</v>
      </c>
      <c r="D216" t="s">
        <v>13</v>
      </c>
      <c r="E216">
        <v>60</v>
      </c>
      <c r="F216">
        <v>1</v>
      </c>
      <c r="G216">
        <v>60</v>
      </c>
      <c r="H216" t="s">
        <v>14</v>
      </c>
      <c r="I216" t="s">
        <v>38</v>
      </c>
      <c r="J216" t="s">
        <v>39</v>
      </c>
      <c r="K216" t="s">
        <v>40</v>
      </c>
    </row>
    <row r="217" spans="1:11" x14ac:dyDescent="0.35">
      <c r="A217" t="s">
        <v>269</v>
      </c>
      <c r="B217" s="1" t="d">
        <v>2025-03-26</v>
      </c>
      <c r="C217" t="s">
        <v>53</v>
      </c>
      <c r="D217" t="s">
        <v>36</v>
      </c>
      <c r="E217">
        <v>40</v>
      </c>
      <c r="F217">
        <v>2</v>
      </c>
      <c r="G217">
        <v>80</v>
      </c>
      <c r="H217" t="s">
        <v>72</v>
      </c>
      <c r="I217" t="s">
        <v>81</v>
      </c>
      <c r="J217" t="s">
        <v>31</v>
      </c>
      <c r="K217" t="s">
        <v>40</v>
      </c>
    </row>
    <row r="218" spans="1:11" x14ac:dyDescent="0.35">
      <c r="A218" t="s">
        <v>270</v>
      </c>
      <c r="B218" s="1" t="d">
        <v>2025-03-19</v>
      </c>
      <c r="C218" t="s">
        <v>12</v>
      </c>
      <c r="D218" t="s">
        <v>13</v>
      </c>
      <c r="E218">
        <v>60</v>
      </c>
      <c r="F218">
        <v>2</v>
      </c>
      <c r="G218">
        <v>120</v>
      </c>
      <c r="H218" t="s">
        <v>14</v>
      </c>
      <c r="I218" t="s">
        <v>46</v>
      </c>
      <c r="J218" t="s">
        <v>58</v>
      </c>
      <c r="K218" t="s">
        <v>23</v>
      </c>
    </row>
    <row r="219" spans="1:11" x14ac:dyDescent="0.35">
      <c r="A219" t="s">
        <v>271</v>
      </c>
      <c r="B219" s="1" t="d">
        <v>2025-02-15</v>
      </c>
      <c r="C219" t="s">
        <v>19</v>
      </c>
      <c r="D219" t="s">
        <v>20</v>
      </c>
      <c r="E219">
        <v>100</v>
      </c>
      <c r="F219">
        <v>4</v>
      </c>
      <c r="G219">
        <v>400</v>
      </c>
      <c r="H219" t="s">
        <v>57</v>
      </c>
      <c r="I219" t="s">
        <v>15</v>
      </c>
      <c r="J219" t="s">
        <v>58</v>
      </c>
      <c r="K219" t="s">
        <v>17</v>
      </c>
    </row>
    <row r="220" spans="1:11" x14ac:dyDescent="0.35">
      <c r="A220" t="s">
        <v>272</v>
      </c>
      <c r="B220" s="1" t="d">
        <v>2025-02-17</v>
      </c>
      <c r="C220" t="s">
        <v>19</v>
      </c>
      <c r="D220" t="s">
        <v>20</v>
      </c>
      <c r="E220">
        <v>100</v>
      </c>
      <c r="F220">
        <v>3</v>
      </c>
      <c r="G220">
        <v>300</v>
      </c>
      <c r="H220" t="s">
        <v>51</v>
      </c>
      <c r="I220" t="s">
        <v>38</v>
      </c>
      <c r="J220" t="s">
        <v>39</v>
      </c>
      <c r="K220" t="s">
        <v>17</v>
      </c>
    </row>
    <row r="221" spans="1:11" x14ac:dyDescent="0.35">
      <c r="A221" t="s">
        <v>273</v>
      </c>
      <c r="B221" s="1" t="d">
        <v>2025-02-10</v>
      </c>
      <c r="C221" t="s">
        <v>33</v>
      </c>
      <c r="D221" t="s">
        <v>20</v>
      </c>
      <c r="E221">
        <v>150</v>
      </c>
      <c r="F221">
        <v>3</v>
      </c>
      <c r="G221">
        <v>450</v>
      </c>
      <c r="H221" t="s">
        <v>54</v>
      </c>
      <c r="I221" t="s">
        <v>26</v>
      </c>
      <c r="J221" t="s">
        <v>16</v>
      </c>
      <c r="K221" t="s">
        <v>40</v>
      </c>
    </row>
    <row r="222" spans="1:11" x14ac:dyDescent="0.35">
      <c r="A222" t="s">
        <v>274</v>
      </c>
      <c r="B222" s="1" t="d">
        <v>2025-02-28</v>
      </c>
      <c r="C222" t="s">
        <v>60</v>
      </c>
      <c r="D222" t="s">
        <v>61</v>
      </c>
      <c r="E222">
        <v>600</v>
      </c>
      <c r="F222">
        <v>2</v>
      </c>
      <c r="G222">
        <v>1200</v>
      </c>
      <c r="H222" t="s">
        <v>21</v>
      </c>
      <c r="I222" t="s">
        <v>81</v>
      </c>
      <c r="J222" t="s">
        <v>58</v>
      </c>
      <c r="K222" t="s">
        <v>17</v>
      </c>
    </row>
    <row r="223" spans="1:11" x14ac:dyDescent="0.35">
      <c r="A223" t="s">
        <v>275</v>
      </c>
      <c r="B223" s="1" t="d">
        <v>2025-02-16</v>
      </c>
      <c r="C223" t="s">
        <v>60</v>
      </c>
      <c r="D223" t="s">
        <v>61</v>
      </c>
      <c r="E223">
        <v>600</v>
      </c>
      <c r="F223">
        <v>2</v>
      </c>
      <c r="G223">
        <v>1200</v>
      </c>
      <c r="H223" t="s">
        <v>72</v>
      </c>
      <c r="I223" t="s">
        <v>63</v>
      </c>
      <c r="J223" t="s">
        <v>39</v>
      </c>
      <c r="K223" t="s">
        <v>17</v>
      </c>
    </row>
    <row r="224" spans="1:11" x14ac:dyDescent="0.35">
      <c r="A224" t="s">
        <v>276</v>
      </c>
      <c r="B224" s="1" t="d">
        <v>2025-03-24</v>
      </c>
      <c r="C224" t="s">
        <v>53</v>
      </c>
      <c r="D224" t="s">
        <v>36</v>
      </c>
      <c r="E224">
        <v>40</v>
      </c>
      <c r="F224">
        <v>2</v>
      </c>
      <c r="G224">
        <v>80</v>
      </c>
      <c r="H224" t="s">
        <v>51</v>
      </c>
      <c r="I224" t="s">
        <v>26</v>
      </c>
      <c r="J224" t="s">
        <v>27</v>
      </c>
      <c r="K224" t="s">
        <v>17</v>
      </c>
    </row>
    <row r="225" spans="1:11" x14ac:dyDescent="0.35">
      <c r="A225" t="s">
        <v>277</v>
      </c>
      <c r="B225" s="1" t="d">
        <v>2025-03-18</v>
      </c>
      <c r="C225" t="s">
        <v>65</v>
      </c>
      <c r="D225" t="s">
        <v>61</v>
      </c>
      <c r="E225">
        <v>1200</v>
      </c>
      <c r="F225">
        <v>1</v>
      </c>
      <c r="G225">
        <v>1200</v>
      </c>
      <c r="H225" t="s">
        <v>80</v>
      </c>
      <c r="I225" t="s">
        <v>44</v>
      </c>
      <c r="J225" t="s">
        <v>39</v>
      </c>
      <c r="K225" t="s">
        <v>40</v>
      </c>
    </row>
    <row r="226" spans="1:11" x14ac:dyDescent="0.35">
      <c r="A226" t="s">
        <v>278</v>
      </c>
      <c r="B226" s="1" t="d">
        <v>2025-03-11</v>
      </c>
      <c r="C226" t="s">
        <v>53</v>
      </c>
      <c r="D226" t="s">
        <v>36</v>
      </c>
      <c r="E226">
        <v>40</v>
      </c>
      <c r="F226">
        <v>1</v>
      </c>
      <c r="G226">
        <v>40</v>
      </c>
      <c r="H226" t="s">
        <v>43</v>
      </c>
      <c r="I226" t="s">
        <v>15</v>
      </c>
      <c r="J226" t="s">
        <v>58</v>
      </c>
      <c r="K226" t="s">
        <v>17</v>
      </c>
    </row>
    <row r="227" spans="1:11" x14ac:dyDescent="0.35">
      <c r="A227" t="s">
        <v>279</v>
      </c>
      <c r="B227" s="1" t="d">
        <v>2025-03-05</v>
      </c>
      <c r="C227" t="s">
        <v>12</v>
      </c>
      <c r="D227" t="s">
        <v>13</v>
      </c>
      <c r="E227">
        <v>60</v>
      </c>
      <c r="F227">
        <v>4</v>
      </c>
      <c r="G227">
        <v>240</v>
      </c>
      <c r="H227" t="s">
        <v>72</v>
      </c>
      <c r="I227" t="s">
        <v>81</v>
      </c>
      <c r="J227" t="s">
        <v>27</v>
      </c>
      <c r="K227" t="s">
        <v>40</v>
      </c>
    </row>
    <row r="228" spans="1:11" x14ac:dyDescent="0.35">
      <c r="A228" t="s">
        <v>280</v>
      </c>
      <c r="B228" s="1" t="d">
        <v>2025-04-02</v>
      </c>
      <c r="C228" t="s">
        <v>19</v>
      </c>
      <c r="D228" t="s">
        <v>20</v>
      </c>
      <c r="E228">
        <v>100</v>
      </c>
      <c r="F228">
        <v>5</v>
      </c>
      <c r="G228">
        <v>500</v>
      </c>
      <c r="H228" t="s">
        <v>14</v>
      </c>
      <c r="I228" t="s">
        <v>44</v>
      </c>
      <c r="J228" t="s">
        <v>27</v>
      </c>
      <c r="K228" t="s">
        <v>17</v>
      </c>
    </row>
    <row r="229" spans="1:11" x14ac:dyDescent="0.35">
      <c r="A229" t="s">
        <v>281</v>
      </c>
      <c r="B229" s="1" t="d">
        <v>2025-02-12</v>
      </c>
      <c r="C229" t="s">
        <v>12</v>
      </c>
      <c r="D229" t="s">
        <v>13</v>
      </c>
      <c r="E229">
        <v>60</v>
      </c>
      <c r="F229">
        <v>1</v>
      </c>
      <c r="G229">
        <v>60</v>
      </c>
      <c r="H229" t="s">
        <v>51</v>
      </c>
      <c r="I229" t="s">
        <v>22</v>
      </c>
      <c r="J229" t="s">
        <v>31</v>
      </c>
      <c r="K229" t="s">
        <v>23</v>
      </c>
    </row>
    <row r="230" spans="1:11" x14ac:dyDescent="0.35">
      <c r="A230" t="s">
        <v>282</v>
      </c>
      <c r="B230" s="1" t="d">
        <v>2025-03-21</v>
      </c>
      <c r="C230" t="s">
        <v>12</v>
      </c>
      <c r="D230" t="s">
        <v>13</v>
      </c>
      <c r="E230">
        <v>60</v>
      </c>
      <c r="F230">
        <v>3</v>
      </c>
      <c r="G230">
        <v>180</v>
      </c>
      <c r="H230" t="s">
        <v>14</v>
      </c>
      <c r="I230" t="s">
        <v>22</v>
      </c>
      <c r="J230" t="s">
        <v>31</v>
      </c>
      <c r="K230" t="s">
        <v>23</v>
      </c>
    </row>
    <row r="231" spans="1:11" x14ac:dyDescent="0.35">
      <c r="A231" t="s">
        <v>283</v>
      </c>
      <c r="B231" s="1" t="d">
        <v>2025-03-31</v>
      </c>
      <c r="C231" t="s">
        <v>19</v>
      </c>
      <c r="D231" t="s">
        <v>20</v>
      </c>
      <c r="E231">
        <v>100</v>
      </c>
      <c r="F231">
        <v>4</v>
      </c>
      <c r="G231">
        <v>400</v>
      </c>
      <c r="H231" t="s">
        <v>80</v>
      </c>
      <c r="I231" t="s">
        <v>22</v>
      </c>
      <c r="J231" t="s">
        <v>27</v>
      </c>
      <c r="K231" t="s">
        <v>23</v>
      </c>
    </row>
    <row r="232" spans="1:11" x14ac:dyDescent="0.35">
      <c r="A232" t="s">
        <v>284</v>
      </c>
      <c r="B232" s="1" t="d">
        <v>2025-02-16</v>
      </c>
      <c r="C232" t="s">
        <v>56</v>
      </c>
      <c r="D232" t="s">
        <v>20</v>
      </c>
      <c r="E232">
        <v>800</v>
      </c>
      <c r="F232">
        <v>5</v>
      </c>
      <c r="G232">
        <v>4000</v>
      </c>
      <c r="H232" t="s">
        <v>80</v>
      </c>
      <c r="I232" t="s">
        <v>46</v>
      </c>
      <c r="J232" t="s">
        <v>31</v>
      </c>
      <c r="K232" t="s">
        <v>17</v>
      </c>
    </row>
    <row r="233" spans="1:11" x14ac:dyDescent="0.35">
      <c r="A233" t="s">
        <v>285</v>
      </c>
      <c r="B233" s="1" t="d">
        <v>2025-03-14</v>
      </c>
      <c r="C233" t="s">
        <v>65</v>
      </c>
      <c r="D233" t="s">
        <v>61</v>
      </c>
      <c r="E233">
        <v>1200</v>
      </c>
      <c r="F233">
        <v>3</v>
      </c>
      <c r="G233">
        <v>3600</v>
      </c>
      <c r="H233" t="s">
        <v>14</v>
      </c>
      <c r="I233" t="s">
        <v>68</v>
      </c>
      <c r="J233" t="s">
        <v>31</v>
      </c>
      <c r="K233" t="s">
        <v>40</v>
      </c>
    </row>
    <row r="234" spans="1:11" x14ac:dyDescent="0.35">
      <c r="A234" t="s">
        <v>286</v>
      </c>
      <c r="B234" s="1" t="d">
        <v>2025-02-20</v>
      </c>
      <c r="C234" t="s">
        <v>12</v>
      </c>
      <c r="D234" t="s">
        <v>13</v>
      </c>
      <c r="E234">
        <v>60</v>
      </c>
      <c r="F234">
        <v>1</v>
      </c>
      <c r="G234">
        <v>60</v>
      </c>
      <c r="H234" t="s">
        <v>51</v>
      </c>
      <c r="I234" t="s">
        <v>46</v>
      </c>
      <c r="J234" t="s">
        <v>39</v>
      </c>
      <c r="K234" t="s">
        <v>17</v>
      </c>
    </row>
    <row r="235" spans="1:11" x14ac:dyDescent="0.35">
      <c r="A235" t="s">
        <v>287</v>
      </c>
      <c r="B235" s="1" t="d">
        <v>2025-03-08</v>
      </c>
      <c r="C235" t="s">
        <v>49</v>
      </c>
      <c r="D235" t="s">
        <v>50</v>
      </c>
      <c r="E235">
        <v>15</v>
      </c>
      <c r="F235">
        <v>1</v>
      </c>
      <c r="G235">
        <v>15</v>
      </c>
      <c r="H235" t="s">
        <v>80</v>
      </c>
      <c r="I235" t="s">
        <v>44</v>
      </c>
      <c r="J235" t="s">
        <v>27</v>
      </c>
      <c r="K235" t="s">
        <v>17</v>
      </c>
    </row>
    <row r="236" spans="1:11" x14ac:dyDescent="0.35">
      <c r="A236" t="s">
        <v>288</v>
      </c>
      <c r="B236" s="1" t="d">
        <v>2025-03-23</v>
      </c>
      <c r="C236" t="s">
        <v>65</v>
      </c>
      <c r="D236" t="s">
        <v>61</v>
      </c>
      <c r="E236">
        <v>1200</v>
      </c>
      <c r="F236">
        <v>1</v>
      </c>
      <c r="G236">
        <v>1200</v>
      </c>
      <c r="H236" t="s">
        <v>57</v>
      </c>
      <c r="I236" t="s">
        <v>30</v>
      </c>
      <c r="J236" t="s">
        <v>39</v>
      </c>
      <c r="K236" t="s">
        <v>40</v>
      </c>
    </row>
    <row r="237" spans="1:11" x14ac:dyDescent="0.35">
      <c r="A237" t="s">
        <v>289</v>
      </c>
      <c r="B237" s="1" t="d">
        <v>2025-03-05</v>
      </c>
      <c r="C237" t="s">
        <v>42</v>
      </c>
      <c r="D237" t="s">
        <v>20</v>
      </c>
      <c r="E237">
        <v>500</v>
      </c>
      <c r="F237">
        <v>5</v>
      </c>
      <c r="G237">
        <v>2500</v>
      </c>
      <c r="H237" t="s">
        <v>25</v>
      </c>
      <c r="I237" t="s">
        <v>46</v>
      </c>
      <c r="J237" t="s">
        <v>39</v>
      </c>
      <c r="K237" t="s">
        <v>40</v>
      </c>
    </row>
    <row r="238" spans="1:11" x14ac:dyDescent="0.35">
      <c r="A238" t="s">
        <v>290</v>
      </c>
      <c r="B238" s="1" t="d">
        <v>2025-02-11</v>
      </c>
      <c r="C238" t="s">
        <v>19</v>
      </c>
      <c r="D238" t="s">
        <v>20</v>
      </c>
      <c r="E238">
        <v>100</v>
      </c>
      <c r="F238">
        <v>3</v>
      </c>
      <c r="G238">
        <v>300</v>
      </c>
      <c r="H238" t="s">
        <v>54</v>
      </c>
      <c r="I238" t="s">
        <v>38</v>
      </c>
      <c r="J238" t="s">
        <v>16</v>
      </c>
      <c r="K238" t="s">
        <v>17</v>
      </c>
    </row>
    <row r="239" spans="1:11" x14ac:dyDescent="0.35">
      <c r="A239" t="s">
        <v>291</v>
      </c>
      <c r="B239" s="1" t="d">
        <v>2025-03-16</v>
      </c>
      <c r="C239" t="s">
        <v>19</v>
      </c>
      <c r="D239" t="s">
        <v>20</v>
      </c>
      <c r="E239">
        <v>100</v>
      </c>
      <c r="F239">
        <v>1</v>
      </c>
      <c r="G239">
        <v>100</v>
      </c>
      <c r="H239" t="s">
        <v>29</v>
      </c>
      <c r="I239" t="s">
        <v>26</v>
      </c>
      <c r="J239" t="s">
        <v>39</v>
      </c>
      <c r="K239" t="s">
        <v>40</v>
      </c>
    </row>
    <row r="240" spans="1:11" x14ac:dyDescent="0.35">
      <c r="A240" t="s">
        <v>292</v>
      </c>
      <c r="B240" s="1" t="d">
        <v>2025-03-22</v>
      </c>
      <c r="C240" t="s">
        <v>33</v>
      </c>
      <c r="D240" t="s">
        <v>20</v>
      </c>
      <c r="E240">
        <v>150</v>
      </c>
      <c r="F240">
        <v>5</v>
      </c>
      <c r="G240">
        <v>750</v>
      </c>
      <c r="H240" t="s">
        <v>57</v>
      </c>
      <c r="I240" t="s">
        <v>38</v>
      </c>
      <c r="J240" t="s">
        <v>27</v>
      </c>
      <c r="K240" t="s">
        <v>40</v>
      </c>
    </row>
    <row r="241" spans="1:11" x14ac:dyDescent="0.35">
      <c r="A241" t="s">
        <v>293</v>
      </c>
      <c r="B241" s="1" t="d">
        <v>2025-02-09</v>
      </c>
      <c r="C241" t="s">
        <v>33</v>
      </c>
      <c r="D241" t="s">
        <v>20</v>
      </c>
      <c r="E241">
        <v>150</v>
      </c>
      <c r="F241">
        <v>1</v>
      </c>
      <c r="G241">
        <v>150</v>
      </c>
      <c r="H241" t="s">
        <v>25</v>
      </c>
      <c r="I241" t="s">
        <v>26</v>
      </c>
      <c r="J241" t="s">
        <v>58</v>
      </c>
      <c r="K241" t="s">
        <v>23</v>
      </c>
    </row>
    <row r="242" spans="1:11" x14ac:dyDescent="0.35">
      <c r="A242" t="s">
        <v>294</v>
      </c>
      <c r="B242" s="1" t="d">
        <v>2025-03-30</v>
      </c>
      <c r="C242" t="s">
        <v>42</v>
      </c>
      <c r="D242" t="s">
        <v>20</v>
      </c>
      <c r="E242">
        <v>500</v>
      </c>
      <c r="F242">
        <v>4</v>
      </c>
      <c r="G242">
        <v>2000</v>
      </c>
      <c r="H242" t="s">
        <v>29</v>
      </c>
      <c r="I242" t="s">
        <v>15</v>
      </c>
      <c r="J242" t="s">
        <v>31</v>
      </c>
      <c r="K242" t="s">
        <v>23</v>
      </c>
    </row>
    <row r="243" spans="1:11" x14ac:dyDescent="0.35">
      <c r="A243" t="s">
        <v>295</v>
      </c>
      <c r="B243" s="1" t="d">
        <v>2025-03-08</v>
      </c>
      <c r="C243" t="s">
        <v>42</v>
      </c>
      <c r="D243" t="s">
        <v>20</v>
      </c>
      <c r="E243">
        <v>500</v>
      </c>
      <c r="F243">
        <v>4</v>
      </c>
      <c r="G243">
        <v>2000</v>
      </c>
      <c r="H243" t="s">
        <v>72</v>
      </c>
      <c r="I243" t="s">
        <v>46</v>
      </c>
      <c r="J243" t="s">
        <v>58</v>
      </c>
      <c r="K243" t="s">
        <v>23</v>
      </c>
    </row>
    <row r="244" spans="1:11" x14ac:dyDescent="0.35">
      <c r="A244" t="s">
        <v>296</v>
      </c>
      <c r="B244" s="1" t="d">
        <v>2025-03-05</v>
      </c>
      <c r="C244" t="s">
        <v>12</v>
      </c>
      <c r="D244" t="s">
        <v>13</v>
      </c>
      <c r="E244">
        <v>60</v>
      </c>
      <c r="F244">
        <v>2</v>
      </c>
      <c r="G244">
        <v>120</v>
      </c>
      <c r="H244" t="s">
        <v>72</v>
      </c>
      <c r="I244" t="s">
        <v>38</v>
      </c>
      <c r="J244" t="s">
        <v>27</v>
      </c>
      <c r="K244" t="s">
        <v>40</v>
      </c>
    </row>
    <row r="245" spans="1:11" x14ac:dyDescent="0.35">
      <c r="A245" t="s">
        <v>297</v>
      </c>
      <c r="B245" s="1" t="d">
        <v>2025-02-06</v>
      </c>
      <c r="C245" t="s">
        <v>42</v>
      </c>
      <c r="D245" t="s">
        <v>20</v>
      </c>
      <c r="E245">
        <v>500</v>
      </c>
      <c r="F245">
        <v>4</v>
      </c>
      <c r="G245">
        <v>2000</v>
      </c>
      <c r="H245" t="s">
        <v>14</v>
      </c>
      <c r="I245" t="s">
        <v>38</v>
      </c>
      <c r="J245" t="s">
        <v>31</v>
      </c>
      <c r="K245" t="s">
        <v>40</v>
      </c>
    </row>
    <row r="246" spans="1:11" x14ac:dyDescent="0.35">
      <c r="A246" t="s">
        <v>298</v>
      </c>
      <c r="B246" s="1" t="d">
        <v>2025-02-04</v>
      </c>
      <c r="C246" t="s">
        <v>56</v>
      </c>
      <c r="D246" t="s">
        <v>20</v>
      </c>
      <c r="E246">
        <v>800</v>
      </c>
      <c r="F246">
        <v>1</v>
      </c>
      <c r="G246">
        <v>800</v>
      </c>
      <c r="H246" t="s">
        <v>54</v>
      </c>
      <c r="I246" t="s">
        <v>68</v>
      </c>
      <c r="J246" t="s">
        <v>31</v>
      </c>
      <c r="K246" t="s">
        <v>17</v>
      </c>
    </row>
    <row r="247" spans="1:11" x14ac:dyDescent="0.35">
      <c r="A247" t="s">
        <v>299</v>
      </c>
      <c r="B247" s="1" t="d">
        <v>2025-03-17</v>
      </c>
      <c r="C247" t="s">
        <v>35</v>
      </c>
      <c r="D247" t="s">
        <v>36</v>
      </c>
      <c r="E247">
        <v>20</v>
      </c>
      <c r="F247">
        <v>2</v>
      </c>
      <c r="G247">
        <v>40</v>
      </c>
      <c r="H247" t="s">
        <v>57</v>
      </c>
      <c r="I247" t="s">
        <v>44</v>
      </c>
      <c r="J247" t="s">
        <v>16</v>
      </c>
      <c r="K247" t="s">
        <v>17</v>
      </c>
    </row>
    <row r="248" spans="1:11" x14ac:dyDescent="0.35">
      <c r="A248" t="s">
        <v>300</v>
      </c>
      <c r="B248" s="1" t="d">
        <v>2025-03-30</v>
      </c>
      <c r="C248" t="s">
        <v>53</v>
      </c>
      <c r="D248" t="s">
        <v>36</v>
      </c>
      <c r="E248">
        <v>40</v>
      </c>
      <c r="F248">
        <v>1</v>
      </c>
      <c r="G248">
        <v>40</v>
      </c>
      <c r="H248" t="s">
        <v>43</v>
      </c>
      <c r="I248" t="s">
        <v>30</v>
      </c>
      <c r="J248" t="s">
        <v>16</v>
      </c>
      <c r="K248" t="s">
        <v>17</v>
      </c>
    </row>
    <row r="249" spans="1:11" x14ac:dyDescent="0.35">
      <c r="A249" t="s">
        <v>301</v>
      </c>
      <c r="B249" s="1" t="d">
        <v>2025-03-05</v>
      </c>
      <c r="C249" t="s">
        <v>35</v>
      </c>
      <c r="D249" t="s">
        <v>36</v>
      </c>
      <c r="E249">
        <v>20</v>
      </c>
      <c r="F249">
        <v>2</v>
      </c>
      <c r="G249">
        <v>40</v>
      </c>
      <c r="H249" t="s">
        <v>72</v>
      </c>
      <c r="I249" t="s">
        <v>26</v>
      </c>
      <c r="J249" t="s">
        <v>16</v>
      </c>
      <c r="K249" t="s">
        <v>17</v>
      </c>
    </row>
    <row r="250" spans="1:11" x14ac:dyDescent="0.35">
      <c r="A250" t="s">
        <v>302</v>
      </c>
      <c r="B250" s="1" t="d">
        <v>2025-03-08</v>
      </c>
      <c r="C250" t="s">
        <v>33</v>
      </c>
      <c r="D250" t="s">
        <v>20</v>
      </c>
      <c r="E250">
        <v>150</v>
      </c>
      <c r="F250">
        <v>3</v>
      </c>
      <c r="G250">
        <v>450</v>
      </c>
      <c r="H250" t="s">
        <v>21</v>
      </c>
      <c r="I250" t="s">
        <v>15</v>
      </c>
      <c r="J250" t="s">
        <v>16</v>
      </c>
      <c r="K250" t="s">
        <v>17</v>
      </c>
    </row>
    <row r="251" spans="1:11" x14ac:dyDescent="0.35">
      <c r="A251" t="s">
        <v>303</v>
      </c>
      <c r="B251" s="1" t="d">
        <v>2025-02-19</v>
      </c>
      <c r="C251" t="s">
        <v>42</v>
      </c>
      <c r="D251" t="s">
        <v>20</v>
      </c>
      <c r="E251">
        <v>500</v>
      </c>
      <c r="F251">
        <v>4</v>
      </c>
      <c r="G251">
        <v>2000</v>
      </c>
      <c r="H251" t="s">
        <v>21</v>
      </c>
      <c r="I251" t="s">
        <v>63</v>
      </c>
      <c r="J251" t="s">
        <v>27</v>
      </c>
      <c r="K251" t="s">
        <v>40</v>
      </c>
    </row>
  </sheetData>
  <pageMargins left="0.7" right="0.7" top="0.75" bottom="0.75" header="0.3" footer="0.3"/>
</worksheet>
</file>

<file path=xl/worksheets/sheet2.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22F22B-E086-4A89-A11F-01886ADBC0EB}">
  <dimension ref="A1:K251"/>
  <sheetViews>
    <sheetView workbookViewId="0">
      <selection activeCell="O18" sqref="O18"/>
    </sheetView>
  </sheetViews>
  <sheetFormatPr defaultRowHeight="14.5" x14ac:dyDescent="0.35"/>
  <sheetData>
    <row r="1" spans="1:11" x14ac:dyDescent="0.35">
      <c r="A1" t="s">
        <v>0</v>
      </c>
      <c r="B1" t="s">
        <v>1</v>
      </c>
      <c r="C1" t="s">
        <v>2</v>
      </c>
      <c r="D1" t="s">
        <v>3</v>
      </c>
      <c r="E1" t="s">
        <v>4</v>
      </c>
      <c r="F1" t="s">
        <v>5</v>
      </c>
      <c r="G1" t="s">
        <v>6</v>
      </c>
      <c r="H1" t="s">
        <v>7</v>
      </c>
      <c r="I1" t="s">
        <v>8</v>
      </c>
      <c r="J1" t="s">
        <v>9</v>
      </c>
      <c r="K1" t="s">
        <v>10</v>
      </c>
    </row>
    <row r="2" spans="1:11" x14ac:dyDescent="0.35">
      <c r="A2" t="s">
        <v>11</v>
      </c>
      <c r="B2" s="1" t="d">
        <v>2025-03-14</v>
      </c>
      <c r="C2" t="s">
        <v>12</v>
      </c>
      <c r="D2" t="s">
        <v>13</v>
      </c>
      <c r="E2">
        <v>60</v>
      </c>
      <c r="F2">
        <v>3</v>
      </c>
      <c r="G2">
        <v>180</v>
      </c>
      <c r="H2" t="s">
        <v>14</v>
      </c>
      <c r="I2" t="s">
        <v>15</v>
      </c>
      <c r="J2" t="s">
        <v>16</v>
      </c>
      <c r="K2" t="s">
        <v>17</v>
      </c>
    </row>
    <row r="3" spans="1:11" x14ac:dyDescent="0.35">
      <c r="A3" t="s">
        <v>18</v>
      </c>
      <c r="B3" s="1" t="d">
        <v>2025-03-20</v>
      </c>
      <c r="C3" t="s">
        <v>19</v>
      </c>
      <c r="D3" t="s">
        <v>20</v>
      </c>
      <c r="E3">
        <v>100</v>
      </c>
      <c r="F3">
        <v>4</v>
      </c>
      <c r="G3">
        <v>400</v>
      </c>
      <c r="H3" t="s">
        <v>21</v>
      </c>
      <c r="I3" t="s">
        <v>22</v>
      </c>
      <c r="J3" t="s">
        <v>16</v>
      </c>
      <c r="K3" t="s">
        <v>23</v>
      </c>
    </row>
    <row r="4" spans="1:11" x14ac:dyDescent="0.35">
      <c r="A4" t="s">
        <v>24</v>
      </c>
      <c r="B4" s="1" t="d">
        <v>2025-02-15</v>
      </c>
      <c r="C4" t="s">
        <v>12</v>
      </c>
      <c r="D4" t="s">
        <v>13</v>
      </c>
      <c r="E4">
        <v>60</v>
      </c>
      <c r="F4">
        <v>2</v>
      </c>
      <c r="G4">
        <v>120</v>
      </c>
      <c r="H4" t="s">
        <v>25</v>
      </c>
      <c r="I4" t="s">
        <v>26</v>
      </c>
      <c r="J4" t="s">
        <v>27</v>
      </c>
      <c r="K4" t="s">
        <v>17</v>
      </c>
    </row>
    <row r="5" spans="1:11" x14ac:dyDescent="0.35">
      <c r="A5" t="s">
        <v>28</v>
      </c>
      <c r="B5" s="1" t="d">
        <v>2025-02-19</v>
      </c>
      <c r="C5" t="s">
        <v>12</v>
      </c>
      <c r="D5" t="s">
        <v>13</v>
      </c>
      <c r="E5">
        <v>60</v>
      </c>
      <c r="F5">
        <v>3</v>
      </c>
      <c r="G5">
        <v>180</v>
      </c>
      <c r="H5" t="s">
        <v>29</v>
      </c>
      <c r="I5" t="s">
        <v>30</v>
      </c>
      <c r="J5" t="s">
        <v>31</v>
      </c>
      <c r="K5" t="s">
        <v>23</v>
      </c>
    </row>
    <row r="6" spans="1:11" x14ac:dyDescent="0.35">
      <c r="A6" t="s">
        <v>32</v>
      </c>
      <c r="B6" s="1" t="d">
        <v>2025-03-10</v>
      </c>
      <c r="C6" t="s">
        <v>33</v>
      </c>
      <c r="D6" t="s">
        <v>20</v>
      </c>
      <c r="E6">
        <v>150</v>
      </c>
      <c r="F6">
        <v>3</v>
      </c>
      <c r="G6">
        <v>450</v>
      </c>
      <c r="H6" t="s">
        <v>14</v>
      </c>
      <c r="I6" t="s">
        <v>15</v>
      </c>
      <c r="J6" t="s">
        <v>16</v>
      </c>
      <c r="K6" t="s">
        <v>23</v>
      </c>
    </row>
    <row r="7" spans="1:11" x14ac:dyDescent="0.35">
      <c r="A7" t="s">
        <v>34</v>
      </c>
      <c r="B7" s="1" t="d">
        <v>2025-03-14</v>
      </c>
      <c r="C7" t="s">
        <v>35</v>
      </c>
      <c r="D7" t="s">
        <v>36</v>
      </c>
      <c r="E7">
        <v>20</v>
      </c>
      <c r="F7">
        <v>1</v>
      </c>
      <c r="G7">
        <v>20</v>
      </c>
      <c r="H7" t="s">
        <v>25</v>
      </c>
      <c r="I7" t="s">
        <v>30</v>
      </c>
      <c r="J7" t="s">
        <v>31</v>
      </c>
      <c r="K7" t="s">
        <v>23</v>
      </c>
    </row>
    <row r="8" spans="1:11" x14ac:dyDescent="0.35">
      <c r="A8" t="s">
        <v>37</v>
      </c>
      <c r="B8" s="1" t="d">
        <v>2025-03-18</v>
      </c>
      <c r="C8" t="s">
        <v>33</v>
      </c>
      <c r="D8" t="s">
        <v>20</v>
      </c>
      <c r="E8">
        <v>150</v>
      </c>
      <c r="F8">
        <v>4</v>
      </c>
      <c r="G8">
        <v>600</v>
      </c>
      <c r="H8" t="s">
        <v>14</v>
      </c>
      <c r="I8" t="s">
        <v>38</v>
      </c>
      <c r="J8" t="s">
        <v>39</v>
      </c>
      <c r="K8" t="s">
        <v>40</v>
      </c>
    </row>
    <row r="9" spans="1:11" x14ac:dyDescent="0.35">
      <c r="A9" t="s">
        <v>41</v>
      </c>
      <c r="B9" s="1" t="d">
        <v>2025-03-02</v>
      </c>
      <c r="C9" t="s">
        <v>42</v>
      </c>
      <c r="D9" t="s">
        <v>20</v>
      </c>
      <c r="E9">
        <v>500</v>
      </c>
      <c r="F9">
        <v>1</v>
      </c>
      <c r="G9">
        <v>500</v>
      </c>
      <c r="H9" t="s">
        <v>43</v>
      </c>
      <c r="I9" t="s">
        <v>44</v>
      </c>
      <c r="J9" t="s">
        <v>39</v>
      </c>
      <c r="K9" t="s">
        <v>40</v>
      </c>
    </row>
    <row r="10" spans="1:11" x14ac:dyDescent="0.35">
      <c r="A10" t="s">
        <v>45</v>
      </c>
      <c r="B10" s="1" t="d">
        <v>2025-03-08</v>
      </c>
      <c r="C10" t="s">
        <v>35</v>
      </c>
      <c r="D10" t="s">
        <v>36</v>
      </c>
      <c r="E10">
        <v>20</v>
      </c>
      <c r="F10">
        <v>3</v>
      </c>
      <c r="G10">
        <v>60</v>
      </c>
      <c r="H10" t="s">
        <v>43</v>
      </c>
      <c r="I10" t="s">
        <v>46</v>
      </c>
      <c r="J10" t="s">
        <v>39</v>
      </c>
      <c r="K10" t="s">
        <v>40</v>
      </c>
    </row>
    <row r="11" spans="1:11" x14ac:dyDescent="0.35">
      <c r="A11" t="s">
        <v>47</v>
      </c>
      <c r="B11" s="1" t="d">
        <v>2025-03-12</v>
      </c>
      <c r="C11" t="s">
        <v>42</v>
      </c>
      <c r="D11" t="s">
        <v>20</v>
      </c>
      <c r="E11">
        <v>500</v>
      </c>
      <c r="F11">
        <v>1</v>
      </c>
      <c r="G11">
        <v>500</v>
      </c>
      <c r="H11" t="s">
        <v>21</v>
      </c>
      <c r="I11" t="s">
        <v>22</v>
      </c>
      <c r="J11" t="s">
        <v>31</v>
      </c>
      <c r="K11" t="s">
        <v>17</v>
      </c>
    </row>
    <row r="12" spans="1:11" x14ac:dyDescent="0.35">
      <c r="A12" t="s">
        <v>48</v>
      </c>
      <c r="B12" s="1" t="d">
        <v>2025-02-17</v>
      </c>
      <c r="C12" t="s">
        <v>49</v>
      </c>
      <c r="D12" t="s">
        <v>50</v>
      </c>
      <c r="E12">
        <v>15</v>
      </c>
      <c r="F12">
        <v>2</v>
      </c>
      <c r="G12">
        <v>30</v>
      </c>
      <c r="H12" t="s">
        <v>51</v>
      </c>
      <c r="I12" t="s">
        <v>46</v>
      </c>
      <c r="J12" t="s">
        <v>27</v>
      </c>
      <c r="K12" t="s">
        <v>23</v>
      </c>
    </row>
    <row r="13" spans="1:11" x14ac:dyDescent="0.35">
      <c r="A13" t="s">
        <v>52</v>
      </c>
      <c r="B13" s="1" t="d">
        <v>2025-03-13</v>
      </c>
      <c r="C13" t="s">
        <v>53</v>
      </c>
      <c r="D13" t="s">
        <v>36</v>
      </c>
      <c r="E13">
        <v>40</v>
      </c>
      <c r="F13">
        <v>4</v>
      </c>
      <c r="G13">
        <v>160</v>
      </c>
      <c r="H13" t="s">
        <v>54</v>
      </c>
      <c r="I13" t="s">
        <v>30</v>
      </c>
      <c r="J13" t="s">
        <v>31</v>
      </c>
      <c r="K13" t="s">
        <v>40</v>
      </c>
    </row>
    <row r="14" spans="1:11" x14ac:dyDescent="0.35">
      <c r="A14" t="s">
        <v>55</v>
      </c>
      <c r="B14" s="1" t="d">
        <v>2025-03-01</v>
      </c>
      <c r="C14" t="s">
        <v>56</v>
      </c>
      <c r="D14" t="s">
        <v>20</v>
      </c>
      <c r="E14">
        <v>800</v>
      </c>
      <c r="F14">
        <v>2</v>
      </c>
      <c r="G14">
        <v>1600</v>
      </c>
      <c r="H14" t="s">
        <v>57</v>
      </c>
      <c r="I14" t="s">
        <v>22</v>
      </c>
      <c r="J14" t="s">
        <v>58</v>
      </c>
      <c r="K14" t="s">
        <v>23</v>
      </c>
    </row>
    <row r="15" spans="1:11" x14ac:dyDescent="0.35">
      <c r="A15" t="s">
        <v>59</v>
      </c>
      <c r="B15" s="1" t="d">
        <v>2025-03-04</v>
      </c>
      <c r="C15" t="s">
        <v>60</v>
      </c>
      <c r="D15" t="s">
        <v>61</v>
      </c>
      <c r="E15">
        <v>600</v>
      </c>
      <c r="F15">
        <v>3</v>
      </c>
      <c r="G15">
        <v>1800</v>
      </c>
      <c r="H15" t="s">
        <v>54</v>
      </c>
      <c r="I15" t="s">
        <v>44</v>
      </c>
      <c r="J15" t="s">
        <v>31</v>
      </c>
      <c r="K15" t="s">
        <v>17</v>
      </c>
    </row>
    <row r="16" spans="1:11" x14ac:dyDescent="0.35">
      <c r="A16" t="s">
        <v>62</v>
      </c>
      <c r="B16" s="1" t="d">
        <v>2025-02-20</v>
      </c>
      <c r="C16" t="s">
        <v>33</v>
      </c>
      <c r="D16" t="s">
        <v>20</v>
      </c>
      <c r="E16">
        <v>150</v>
      </c>
      <c r="F16">
        <v>4</v>
      </c>
      <c r="G16">
        <v>600</v>
      </c>
      <c r="H16" t="s">
        <v>25</v>
      </c>
      <c r="I16" t="s">
        <v>63</v>
      </c>
      <c r="J16" t="s">
        <v>31</v>
      </c>
      <c r="K16" t="s">
        <v>40</v>
      </c>
    </row>
    <row r="17" spans="1:11" x14ac:dyDescent="0.35">
      <c r="A17" t="s">
        <v>64</v>
      </c>
      <c r="B17" s="1" t="d">
        <v>2025-02-26</v>
      </c>
      <c r="C17" t="s">
        <v>65</v>
      </c>
      <c r="D17" t="s">
        <v>61</v>
      </c>
      <c r="E17">
        <v>1200</v>
      </c>
      <c r="F17">
        <v>1</v>
      </c>
      <c r="G17">
        <v>1200</v>
      </c>
      <c r="H17" t="s">
        <v>25</v>
      </c>
      <c r="I17" t="s">
        <v>46</v>
      </c>
      <c r="J17" t="s">
        <v>31</v>
      </c>
      <c r="K17" t="s">
        <v>17</v>
      </c>
    </row>
    <row r="18" spans="1:11" x14ac:dyDescent="0.35">
      <c r="A18" t="s">
        <v>66</v>
      </c>
      <c r="B18" s="1" t="d">
        <v>2025-04-01</v>
      </c>
      <c r="C18" t="s">
        <v>35</v>
      </c>
      <c r="D18" t="s">
        <v>36</v>
      </c>
      <c r="E18">
        <v>20</v>
      </c>
      <c r="F18">
        <v>1</v>
      </c>
      <c r="G18">
        <v>20</v>
      </c>
      <c r="H18" t="s">
        <v>14</v>
      </c>
      <c r="I18" t="s">
        <v>15</v>
      </c>
      <c r="J18" t="s">
        <v>27</v>
      </c>
      <c r="K18" t="s">
        <v>40</v>
      </c>
    </row>
    <row r="19" spans="1:11" x14ac:dyDescent="0.35">
      <c r="A19" t="s">
        <v>67</v>
      </c>
      <c r="B19" s="1" t="d">
        <v>2025-02-10</v>
      </c>
      <c r="C19" t="s">
        <v>42</v>
      </c>
      <c r="D19" t="s">
        <v>20</v>
      </c>
      <c r="E19">
        <v>500</v>
      </c>
      <c r="F19">
        <v>2</v>
      </c>
      <c r="G19">
        <v>1000</v>
      </c>
      <c r="H19" t="s">
        <v>54</v>
      </c>
      <c r="I19" t="s">
        <v>68</v>
      </c>
      <c r="J19" t="s">
        <v>27</v>
      </c>
      <c r="K19" t="s">
        <v>40</v>
      </c>
    </row>
    <row r="20" spans="1:11" x14ac:dyDescent="0.35">
      <c r="A20" t="s">
        <v>69</v>
      </c>
      <c r="B20" s="1" t="d">
        <v>2025-03-22</v>
      </c>
      <c r="C20" t="s">
        <v>12</v>
      </c>
      <c r="D20" t="s">
        <v>13</v>
      </c>
      <c r="E20">
        <v>60</v>
      </c>
      <c r="F20">
        <v>3</v>
      </c>
      <c r="G20">
        <v>180</v>
      </c>
      <c r="H20" t="s">
        <v>29</v>
      </c>
      <c r="I20" t="s">
        <v>38</v>
      </c>
      <c r="J20" t="s">
        <v>31</v>
      </c>
      <c r="K20" t="s">
        <v>40</v>
      </c>
    </row>
    <row r="21" spans="1:11" x14ac:dyDescent="0.35">
      <c r="A21" t="s">
        <v>70</v>
      </c>
      <c r="B21" s="1" t="d">
        <v>2025-03-07</v>
      </c>
      <c r="C21" t="s">
        <v>19</v>
      </c>
      <c r="D21" t="s">
        <v>20</v>
      </c>
      <c r="E21">
        <v>100</v>
      </c>
      <c r="F21">
        <v>4</v>
      </c>
      <c r="G21">
        <v>400</v>
      </c>
      <c r="H21" t="s">
        <v>29</v>
      </c>
      <c r="I21" t="s">
        <v>63</v>
      </c>
      <c r="J21" t="s">
        <v>16</v>
      </c>
      <c r="K21" t="s">
        <v>23</v>
      </c>
    </row>
    <row r="22" spans="1:11" x14ac:dyDescent="0.35">
      <c r="A22" t="s">
        <v>71</v>
      </c>
      <c r="B22" s="1" t="d">
        <v>2025-02-05</v>
      </c>
      <c r="C22" t="s">
        <v>19</v>
      </c>
      <c r="D22" t="s">
        <v>20</v>
      </c>
      <c r="E22">
        <v>100</v>
      </c>
      <c r="F22">
        <v>3</v>
      </c>
      <c r="G22">
        <v>300</v>
      </c>
      <c r="H22" t="s">
        <v>72</v>
      </c>
      <c r="I22" t="s">
        <v>44</v>
      </c>
      <c r="J22" t="s">
        <v>16</v>
      </c>
      <c r="K22" t="s">
        <v>17</v>
      </c>
    </row>
    <row r="23" spans="1:11" x14ac:dyDescent="0.35">
      <c r="A23" t="s">
        <v>73</v>
      </c>
      <c r="B23" s="1" t="d">
        <v>2025-03-07</v>
      </c>
      <c r="C23" t="s">
        <v>65</v>
      </c>
      <c r="D23" t="s">
        <v>61</v>
      </c>
      <c r="E23">
        <v>1200</v>
      </c>
      <c r="F23">
        <v>4</v>
      </c>
      <c r="G23">
        <v>4800</v>
      </c>
      <c r="H23" t="s">
        <v>29</v>
      </c>
      <c r="I23" t="s">
        <v>38</v>
      </c>
      <c r="J23" t="s">
        <v>31</v>
      </c>
      <c r="K23" t="s">
        <v>23</v>
      </c>
    </row>
    <row r="24" spans="1:11" x14ac:dyDescent="0.35">
      <c r="A24" t="s">
        <v>74</v>
      </c>
      <c r="B24" s="1" t="d">
        <v>2025-02-23</v>
      </c>
      <c r="C24" t="s">
        <v>49</v>
      </c>
      <c r="D24" t="s">
        <v>50</v>
      </c>
      <c r="E24">
        <v>15</v>
      </c>
      <c r="F24">
        <v>1</v>
      </c>
      <c r="G24">
        <v>15</v>
      </c>
      <c r="H24" t="s">
        <v>14</v>
      </c>
      <c r="I24" t="s">
        <v>38</v>
      </c>
      <c r="J24" t="s">
        <v>31</v>
      </c>
      <c r="K24" t="s">
        <v>23</v>
      </c>
    </row>
    <row r="25" spans="1:11" x14ac:dyDescent="0.35">
      <c r="A25" t="s">
        <v>75</v>
      </c>
      <c r="B25" s="1" t="d">
        <v>2025-03-24</v>
      </c>
      <c r="C25" t="s">
        <v>65</v>
      </c>
      <c r="D25" t="s">
        <v>61</v>
      </c>
      <c r="E25">
        <v>1200</v>
      </c>
      <c r="F25">
        <v>3</v>
      </c>
      <c r="G25">
        <v>3600</v>
      </c>
      <c r="H25" t="s">
        <v>72</v>
      </c>
      <c r="I25" t="s">
        <v>30</v>
      </c>
      <c r="J25" t="s">
        <v>31</v>
      </c>
      <c r="K25" t="s">
        <v>17</v>
      </c>
    </row>
    <row r="26" spans="1:11" x14ac:dyDescent="0.35">
      <c r="A26" t="s">
        <v>76</v>
      </c>
      <c r="B26" s="1" t="d">
        <v>2025-03-02</v>
      </c>
      <c r="C26" t="s">
        <v>49</v>
      </c>
      <c r="D26" t="s">
        <v>50</v>
      </c>
      <c r="E26">
        <v>15</v>
      </c>
      <c r="F26">
        <v>5</v>
      </c>
      <c r="G26">
        <v>75</v>
      </c>
      <c r="H26" t="s">
        <v>43</v>
      </c>
      <c r="I26" t="s">
        <v>63</v>
      </c>
      <c r="J26" t="s">
        <v>27</v>
      </c>
      <c r="K26" t="s">
        <v>40</v>
      </c>
    </row>
    <row r="27" spans="1:11" x14ac:dyDescent="0.35">
      <c r="A27" t="s">
        <v>77</v>
      </c>
      <c r="B27" s="1" t="d">
        <v>2025-02-14</v>
      </c>
      <c r="C27" t="s">
        <v>60</v>
      </c>
      <c r="D27" t="s">
        <v>61</v>
      </c>
      <c r="E27">
        <v>600</v>
      </c>
      <c r="F27">
        <v>1</v>
      </c>
      <c r="G27">
        <v>600</v>
      </c>
      <c r="H27" t="s">
        <v>29</v>
      </c>
      <c r="I27" t="s">
        <v>46</v>
      </c>
      <c r="J27" t="s">
        <v>16</v>
      </c>
      <c r="K27" t="s">
        <v>17</v>
      </c>
    </row>
    <row r="28" spans="1:11" x14ac:dyDescent="0.35">
      <c r="A28" t="s">
        <v>78</v>
      </c>
      <c r="B28" s="1" t="d">
        <v>2025-02-07</v>
      </c>
      <c r="C28" t="s">
        <v>35</v>
      </c>
      <c r="D28" t="s">
        <v>36</v>
      </c>
      <c r="E28">
        <v>20</v>
      </c>
      <c r="F28">
        <v>1</v>
      </c>
      <c r="G28">
        <v>20</v>
      </c>
      <c r="H28" t="s">
        <v>57</v>
      </c>
      <c r="I28" t="s">
        <v>15</v>
      </c>
      <c r="J28" t="s">
        <v>27</v>
      </c>
      <c r="K28" t="s">
        <v>23</v>
      </c>
    </row>
    <row r="29" spans="1:11" x14ac:dyDescent="0.35">
      <c r="A29" t="s">
        <v>79</v>
      </c>
      <c r="B29" s="1" t="d">
        <v>2025-02-03</v>
      </c>
      <c r="C29" t="s">
        <v>19</v>
      </c>
      <c r="D29" t="s">
        <v>20</v>
      </c>
      <c r="E29">
        <v>100</v>
      </c>
      <c r="F29">
        <v>1</v>
      </c>
      <c r="G29">
        <v>100</v>
      </c>
      <c r="H29" t="s">
        <v>80</v>
      </c>
      <c r="I29" t="s">
        <v>81</v>
      </c>
      <c r="J29" t="s">
        <v>27</v>
      </c>
      <c r="K29" t="s">
        <v>40</v>
      </c>
    </row>
    <row r="30" spans="1:11" x14ac:dyDescent="0.35">
      <c r="A30" t="s">
        <v>82</v>
      </c>
      <c r="B30" s="1" t="d">
        <v>2025-02-12</v>
      </c>
      <c r="C30" t="s">
        <v>42</v>
      </c>
      <c r="D30" t="s">
        <v>20</v>
      </c>
      <c r="E30">
        <v>500</v>
      </c>
      <c r="F30">
        <v>1</v>
      </c>
      <c r="G30">
        <v>500</v>
      </c>
      <c r="H30" t="s">
        <v>43</v>
      </c>
      <c r="I30" t="s">
        <v>26</v>
      </c>
      <c r="J30" t="s">
        <v>31</v>
      </c>
      <c r="K30" t="s">
        <v>17</v>
      </c>
    </row>
    <row r="31" spans="1:11" x14ac:dyDescent="0.35">
      <c r="A31" t="s">
        <v>83</v>
      </c>
      <c r="B31" s="1" t="d">
        <v>2025-02-10</v>
      </c>
      <c r="C31" t="s">
        <v>60</v>
      </c>
      <c r="D31" t="s">
        <v>61</v>
      </c>
      <c r="E31">
        <v>600</v>
      </c>
      <c r="F31">
        <v>3</v>
      </c>
      <c r="G31">
        <v>1800</v>
      </c>
      <c r="H31" t="s">
        <v>21</v>
      </c>
      <c r="I31" t="s">
        <v>30</v>
      </c>
      <c r="J31" t="s">
        <v>58</v>
      </c>
      <c r="K31" t="s">
        <v>17</v>
      </c>
    </row>
    <row r="32" spans="1:11" x14ac:dyDescent="0.35">
      <c r="A32" t="s">
        <v>84</v>
      </c>
      <c r="B32" s="1" t="d">
        <v>2025-03-24</v>
      </c>
      <c r="C32" t="s">
        <v>42</v>
      </c>
      <c r="D32" t="s">
        <v>20</v>
      </c>
      <c r="E32">
        <v>500</v>
      </c>
      <c r="F32">
        <v>1</v>
      </c>
      <c r="G32">
        <v>500</v>
      </c>
      <c r="H32" t="s">
        <v>25</v>
      </c>
      <c r="I32" t="s">
        <v>38</v>
      </c>
      <c r="J32" t="s">
        <v>58</v>
      </c>
      <c r="K32" t="s">
        <v>23</v>
      </c>
    </row>
    <row r="33" spans="1:11" x14ac:dyDescent="0.35">
      <c r="A33" t="s">
        <v>85</v>
      </c>
      <c r="B33" s="1" t="d">
        <v>2025-03-10</v>
      </c>
      <c r="C33" t="s">
        <v>42</v>
      </c>
      <c r="D33" t="s">
        <v>20</v>
      </c>
      <c r="E33">
        <v>500</v>
      </c>
      <c r="F33">
        <v>4</v>
      </c>
      <c r="G33">
        <v>2000</v>
      </c>
      <c r="H33" t="s">
        <v>54</v>
      </c>
      <c r="I33" t="s">
        <v>63</v>
      </c>
      <c r="J33" t="s">
        <v>39</v>
      </c>
      <c r="K33" t="s">
        <v>23</v>
      </c>
    </row>
    <row r="34" spans="1:11" x14ac:dyDescent="0.35">
      <c r="A34" t="s">
        <v>86</v>
      </c>
      <c r="B34" s="1" t="d">
        <v>2025-02-04</v>
      </c>
      <c r="C34" t="s">
        <v>49</v>
      </c>
      <c r="D34" t="s">
        <v>50</v>
      </c>
      <c r="E34">
        <v>15</v>
      </c>
      <c r="F34">
        <v>1</v>
      </c>
      <c r="G34">
        <v>15</v>
      </c>
      <c r="H34" t="s">
        <v>29</v>
      </c>
      <c r="I34" t="s">
        <v>15</v>
      </c>
      <c r="J34" t="s">
        <v>16</v>
      </c>
      <c r="K34" t="s">
        <v>17</v>
      </c>
    </row>
    <row r="35" spans="1:11" x14ac:dyDescent="0.35">
      <c r="A35" t="s">
        <v>87</v>
      </c>
      <c r="B35" s="1" t="d">
        <v>2025-04-02</v>
      </c>
      <c r="C35" t="s">
        <v>35</v>
      </c>
      <c r="D35" t="s">
        <v>36</v>
      </c>
      <c r="E35">
        <v>20</v>
      </c>
      <c r="F35">
        <v>5</v>
      </c>
      <c r="G35">
        <v>100</v>
      </c>
      <c r="H35" t="s">
        <v>80</v>
      </c>
      <c r="I35" t="s">
        <v>15</v>
      </c>
      <c r="J35" t="s">
        <v>31</v>
      </c>
      <c r="K35" t="s">
        <v>23</v>
      </c>
    </row>
    <row r="36" spans="1:11" x14ac:dyDescent="0.35">
      <c r="A36" t="s">
        <v>88</v>
      </c>
      <c r="B36" s="1" t="d">
        <v>2025-04-02</v>
      </c>
      <c r="C36" t="s">
        <v>56</v>
      </c>
      <c r="D36" t="s">
        <v>20</v>
      </c>
      <c r="E36">
        <v>800</v>
      </c>
      <c r="F36">
        <v>3</v>
      </c>
      <c r="G36">
        <v>2400</v>
      </c>
      <c r="H36" t="s">
        <v>14</v>
      </c>
      <c r="I36" t="s">
        <v>26</v>
      </c>
      <c r="J36" t="s">
        <v>27</v>
      </c>
      <c r="K36" t="s">
        <v>40</v>
      </c>
    </row>
    <row r="37" spans="1:11" x14ac:dyDescent="0.35">
      <c r="A37" t="s">
        <v>89</v>
      </c>
      <c r="B37" s="1" t="d">
        <v>2025-02-09</v>
      </c>
      <c r="C37" t="s">
        <v>65</v>
      </c>
      <c r="D37" t="s">
        <v>61</v>
      </c>
      <c r="E37">
        <v>1200</v>
      </c>
      <c r="F37">
        <v>2</v>
      </c>
      <c r="G37">
        <v>2400</v>
      </c>
      <c r="H37" t="s">
        <v>43</v>
      </c>
      <c r="I37" t="s">
        <v>46</v>
      </c>
      <c r="J37" t="s">
        <v>39</v>
      </c>
      <c r="K37" t="s">
        <v>17</v>
      </c>
    </row>
    <row r="38" spans="1:11" x14ac:dyDescent="0.35">
      <c r="A38" t="s">
        <v>90</v>
      </c>
      <c r="B38" s="1" t="d">
        <v>2025-02-16</v>
      </c>
      <c r="C38" t="s">
        <v>19</v>
      </c>
      <c r="D38" t="s">
        <v>20</v>
      </c>
      <c r="E38">
        <v>100</v>
      </c>
      <c r="F38">
        <v>3</v>
      </c>
      <c r="G38">
        <v>300</v>
      </c>
      <c r="H38" t="s">
        <v>54</v>
      </c>
      <c r="I38" t="s">
        <v>15</v>
      </c>
      <c r="J38" t="s">
        <v>16</v>
      </c>
      <c r="K38" t="s">
        <v>17</v>
      </c>
    </row>
    <row r="39" spans="1:11" x14ac:dyDescent="0.35">
      <c r="A39" t="s">
        <v>91</v>
      </c>
      <c r="B39" s="1" t="d">
        <v>2025-03-26</v>
      </c>
      <c r="C39" t="s">
        <v>56</v>
      </c>
      <c r="D39" t="s">
        <v>20</v>
      </c>
      <c r="E39">
        <v>800</v>
      </c>
      <c r="F39">
        <v>3</v>
      </c>
      <c r="G39">
        <v>2400</v>
      </c>
      <c r="H39" t="s">
        <v>29</v>
      </c>
      <c r="I39" t="s">
        <v>81</v>
      </c>
      <c r="J39" t="s">
        <v>27</v>
      </c>
      <c r="K39" t="s">
        <v>40</v>
      </c>
    </row>
    <row r="40" spans="1:11" x14ac:dyDescent="0.35">
      <c r="A40" t="s">
        <v>92</v>
      </c>
      <c r="B40" s="1" t="d">
        <v>2025-03-02</v>
      </c>
      <c r="C40" t="s">
        <v>56</v>
      </c>
      <c r="D40" t="s">
        <v>20</v>
      </c>
      <c r="E40">
        <v>800</v>
      </c>
      <c r="F40">
        <v>2</v>
      </c>
      <c r="G40">
        <v>1600</v>
      </c>
      <c r="H40" t="s">
        <v>29</v>
      </c>
      <c r="I40" t="s">
        <v>22</v>
      </c>
      <c r="J40" t="s">
        <v>39</v>
      </c>
      <c r="K40" t="s">
        <v>40</v>
      </c>
    </row>
    <row r="41" spans="1:11" x14ac:dyDescent="0.35">
      <c r="A41" t="s">
        <v>93</v>
      </c>
      <c r="B41" s="1" t="d">
        <v>2025-03-26</v>
      </c>
      <c r="C41" t="s">
        <v>33</v>
      </c>
      <c r="D41" t="s">
        <v>20</v>
      </c>
      <c r="E41">
        <v>150</v>
      </c>
      <c r="F41">
        <v>1</v>
      </c>
      <c r="G41">
        <v>150</v>
      </c>
      <c r="H41" t="s">
        <v>21</v>
      </c>
      <c r="I41" t="s">
        <v>63</v>
      </c>
      <c r="J41" t="s">
        <v>58</v>
      </c>
      <c r="K41" t="s">
        <v>23</v>
      </c>
    </row>
    <row r="42" spans="1:11" x14ac:dyDescent="0.35">
      <c r="A42" t="s">
        <v>94</v>
      </c>
      <c r="B42" s="1" t="d">
        <v>2025-02-20</v>
      </c>
      <c r="C42" t="s">
        <v>49</v>
      </c>
      <c r="D42" t="s">
        <v>50</v>
      </c>
      <c r="E42">
        <v>15</v>
      </c>
      <c r="F42">
        <v>1</v>
      </c>
      <c r="G42">
        <v>15</v>
      </c>
      <c r="H42" t="s">
        <v>80</v>
      </c>
      <c r="I42" t="s">
        <v>44</v>
      </c>
      <c r="J42" t="s">
        <v>31</v>
      </c>
      <c r="K42" t="s">
        <v>17</v>
      </c>
    </row>
    <row r="43" spans="1:11" x14ac:dyDescent="0.35">
      <c r="A43" t="s">
        <v>95</v>
      </c>
      <c r="B43" s="1" t="d">
        <v>2025-03-17</v>
      </c>
      <c r="C43" t="s">
        <v>19</v>
      </c>
      <c r="D43" t="s">
        <v>20</v>
      </c>
      <c r="E43">
        <v>100</v>
      </c>
      <c r="F43">
        <v>3</v>
      </c>
      <c r="G43">
        <v>300</v>
      </c>
      <c r="H43" t="s">
        <v>80</v>
      </c>
      <c r="I43" t="s">
        <v>81</v>
      </c>
      <c r="J43" t="s">
        <v>27</v>
      </c>
      <c r="K43" t="s">
        <v>17</v>
      </c>
    </row>
    <row r="44" spans="1:11" x14ac:dyDescent="0.35">
      <c r="A44" t="s">
        <v>96</v>
      </c>
      <c r="B44" s="1" t="d">
        <v>2025-02-08</v>
      </c>
      <c r="C44" t="s">
        <v>35</v>
      </c>
      <c r="D44" t="s">
        <v>36</v>
      </c>
      <c r="E44">
        <v>20</v>
      </c>
      <c r="F44">
        <v>4</v>
      </c>
      <c r="G44">
        <v>80</v>
      </c>
      <c r="H44" t="s">
        <v>80</v>
      </c>
      <c r="I44" t="s">
        <v>26</v>
      </c>
      <c r="J44" t="s">
        <v>31</v>
      </c>
      <c r="K44" t="s">
        <v>23</v>
      </c>
    </row>
    <row r="45" spans="1:11" x14ac:dyDescent="0.35">
      <c r="A45" t="s">
        <v>97</v>
      </c>
      <c r="B45" s="1" t="d">
        <v>2025-03-24</v>
      </c>
      <c r="C45" t="s">
        <v>33</v>
      </c>
      <c r="D45" t="s">
        <v>20</v>
      </c>
      <c r="E45">
        <v>150</v>
      </c>
      <c r="F45">
        <v>1</v>
      </c>
      <c r="G45">
        <v>150</v>
      </c>
      <c r="H45" t="s">
        <v>72</v>
      </c>
      <c r="I45" t="s">
        <v>38</v>
      </c>
      <c r="J45" t="s">
        <v>16</v>
      </c>
      <c r="K45" t="s">
        <v>23</v>
      </c>
    </row>
    <row r="46" spans="1:11" x14ac:dyDescent="0.35">
      <c r="A46" t="s">
        <v>98</v>
      </c>
      <c r="B46" s="1" t="d">
        <v>2025-03-15</v>
      </c>
      <c r="C46" t="s">
        <v>65</v>
      </c>
      <c r="D46" t="s">
        <v>61</v>
      </c>
      <c r="E46">
        <v>1200</v>
      </c>
      <c r="F46">
        <v>3</v>
      </c>
      <c r="G46">
        <v>3600</v>
      </c>
      <c r="H46" t="s">
        <v>57</v>
      </c>
      <c r="I46" t="s">
        <v>15</v>
      </c>
      <c r="J46" t="s">
        <v>31</v>
      </c>
      <c r="K46" t="s">
        <v>23</v>
      </c>
    </row>
    <row r="47" spans="1:11" x14ac:dyDescent="0.35">
      <c r="A47" t="s">
        <v>99</v>
      </c>
      <c r="B47" s="1" t="d">
        <v>2025-03-06</v>
      </c>
      <c r="C47" t="s">
        <v>12</v>
      </c>
      <c r="D47" t="s">
        <v>13</v>
      </c>
      <c r="E47">
        <v>60</v>
      </c>
      <c r="F47">
        <v>2</v>
      </c>
      <c r="G47">
        <v>120</v>
      </c>
      <c r="H47" t="s">
        <v>51</v>
      </c>
      <c r="I47" t="s">
        <v>38</v>
      </c>
      <c r="J47" t="s">
        <v>16</v>
      </c>
      <c r="K47" t="s">
        <v>17</v>
      </c>
    </row>
    <row r="48" spans="1:11" x14ac:dyDescent="0.35">
      <c r="A48" t="s">
        <v>100</v>
      </c>
      <c r="B48" s="1" t="d">
        <v>2025-03-26</v>
      </c>
      <c r="C48" t="s">
        <v>35</v>
      </c>
      <c r="D48" t="s">
        <v>36</v>
      </c>
      <c r="E48">
        <v>20</v>
      </c>
      <c r="F48">
        <v>2</v>
      </c>
      <c r="G48">
        <v>40</v>
      </c>
      <c r="H48" t="s">
        <v>72</v>
      </c>
      <c r="I48" t="s">
        <v>44</v>
      </c>
      <c r="J48" t="s">
        <v>58</v>
      </c>
      <c r="K48" t="s">
        <v>17</v>
      </c>
    </row>
    <row r="49" spans="1:11" x14ac:dyDescent="0.35">
      <c r="A49" t="s">
        <v>101</v>
      </c>
      <c r="B49" s="1" t="d">
        <v>2025-02-11</v>
      </c>
      <c r="C49" t="s">
        <v>35</v>
      </c>
      <c r="D49" t="s">
        <v>36</v>
      </c>
      <c r="E49">
        <v>20</v>
      </c>
      <c r="F49">
        <v>5</v>
      </c>
      <c r="G49">
        <v>100</v>
      </c>
      <c r="H49" t="s">
        <v>80</v>
      </c>
      <c r="I49" t="s">
        <v>26</v>
      </c>
      <c r="J49" t="s">
        <v>27</v>
      </c>
      <c r="K49" t="s">
        <v>40</v>
      </c>
    </row>
    <row r="50" spans="1:11" x14ac:dyDescent="0.35">
      <c r="A50" t="s">
        <v>102</v>
      </c>
      <c r="B50" s="1" t="d">
        <v>2025-02-18</v>
      </c>
      <c r="C50" t="s">
        <v>42</v>
      </c>
      <c r="D50" t="s">
        <v>20</v>
      </c>
      <c r="E50">
        <v>500</v>
      </c>
      <c r="F50">
        <v>4</v>
      </c>
      <c r="G50">
        <v>2000</v>
      </c>
      <c r="H50" t="s">
        <v>14</v>
      </c>
      <c r="I50" t="s">
        <v>81</v>
      </c>
      <c r="J50" t="s">
        <v>16</v>
      </c>
      <c r="K50" t="s">
        <v>40</v>
      </c>
    </row>
    <row r="51" spans="1:11" x14ac:dyDescent="0.35">
      <c r="A51" t="s">
        <v>103</v>
      </c>
      <c r="B51" s="1" t="d">
        <v>2025-03-14</v>
      </c>
      <c r="C51" t="s">
        <v>53</v>
      </c>
      <c r="D51" t="s">
        <v>36</v>
      </c>
      <c r="E51">
        <v>40</v>
      </c>
      <c r="F51">
        <v>3</v>
      </c>
      <c r="G51">
        <v>120</v>
      </c>
      <c r="H51" t="s">
        <v>25</v>
      </c>
      <c r="I51" t="s">
        <v>46</v>
      </c>
      <c r="J51" t="s">
        <v>58</v>
      </c>
      <c r="K51" t="s">
        <v>40</v>
      </c>
    </row>
    <row r="52" spans="1:11" x14ac:dyDescent="0.35">
      <c r="A52" t="s">
        <v>104</v>
      </c>
      <c r="B52" s="1" t="d">
        <v>2025-02-19</v>
      </c>
      <c r="C52" t="s">
        <v>49</v>
      </c>
      <c r="D52" t="s">
        <v>50</v>
      </c>
      <c r="E52">
        <v>15</v>
      </c>
      <c r="F52">
        <v>1</v>
      </c>
      <c r="G52">
        <v>15</v>
      </c>
      <c r="H52" t="s">
        <v>14</v>
      </c>
      <c r="I52" t="s">
        <v>38</v>
      </c>
      <c r="J52" t="s">
        <v>58</v>
      </c>
      <c r="K52" t="s">
        <v>17</v>
      </c>
    </row>
    <row r="53" spans="1:11" x14ac:dyDescent="0.35">
      <c r="A53" t="s">
        <v>105</v>
      </c>
      <c r="B53" s="1" t="d">
        <v>2025-02-24</v>
      </c>
      <c r="C53" t="s">
        <v>56</v>
      </c>
      <c r="D53" t="s">
        <v>20</v>
      </c>
      <c r="E53">
        <v>800</v>
      </c>
      <c r="F53">
        <v>3</v>
      </c>
      <c r="G53">
        <v>2400</v>
      </c>
      <c r="H53" t="s">
        <v>25</v>
      </c>
      <c r="I53" t="s">
        <v>22</v>
      </c>
      <c r="J53" t="s">
        <v>31</v>
      </c>
      <c r="K53" t="s">
        <v>23</v>
      </c>
    </row>
    <row r="54" spans="1:11" x14ac:dyDescent="0.35">
      <c r="A54" t="s">
        <v>106</v>
      </c>
      <c r="B54" s="1" t="d">
        <v>2025-03-24</v>
      </c>
      <c r="C54" t="s">
        <v>12</v>
      </c>
      <c r="D54" t="s">
        <v>13</v>
      </c>
      <c r="E54">
        <v>60</v>
      </c>
      <c r="F54">
        <v>4</v>
      </c>
      <c r="G54">
        <v>240</v>
      </c>
      <c r="H54" t="s">
        <v>21</v>
      </c>
      <c r="I54" t="s">
        <v>68</v>
      </c>
      <c r="J54" t="s">
        <v>39</v>
      </c>
      <c r="K54" t="s">
        <v>40</v>
      </c>
    </row>
    <row r="55" spans="1:11" x14ac:dyDescent="0.35">
      <c r="A55" t="s">
        <v>107</v>
      </c>
      <c r="B55" s="1" t="d">
        <v>2025-03-15</v>
      </c>
      <c r="C55" t="s">
        <v>33</v>
      </c>
      <c r="D55" t="s">
        <v>20</v>
      </c>
      <c r="E55">
        <v>150</v>
      </c>
      <c r="F55">
        <v>3</v>
      </c>
      <c r="G55">
        <v>450</v>
      </c>
      <c r="H55" t="s">
        <v>51</v>
      </c>
      <c r="I55" t="s">
        <v>46</v>
      </c>
      <c r="J55" t="s">
        <v>58</v>
      </c>
      <c r="K55" t="s">
        <v>23</v>
      </c>
    </row>
    <row r="56" spans="1:11" x14ac:dyDescent="0.35">
      <c r="A56" t="s">
        <v>108</v>
      </c>
      <c r="B56" s="1" t="d">
        <v>2025-03-15</v>
      </c>
      <c r="C56" t="s">
        <v>53</v>
      </c>
      <c r="D56" t="s">
        <v>36</v>
      </c>
      <c r="E56">
        <v>40</v>
      </c>
      <c r="F56">
        <v>2</v>
      </c>
      <c r="G56">
        <v>80</v>
      </c>
      <c r="H56" t="s">
        <v>43</v>
      </c>
      <c r="I56" t="s">
        <v>30</v>
      </c>
      <c r="J56" t="s">
        <v>39</v>
      </c>
      <c r="K56" t="s">
        <v>40</v>
      </c>
    </row>
    <row r="57" spans="1:11" x14ac:dyDescent="0.35">
      <c r="A57" t="s">
        <v>109</v>
      </c>
      <c r="B57" s="1" t="d">
        <v>2025-03-19</v>
      </c>
      <c r="C57" t="s">
        <v>33</v>
      </c>
      <c r="D57" t="s">
        <v>20</v>
      </c>
      <c r="E57">
        <v>150</v>
      </c>
      <c r="F57">
        <v>2</v>
      </c>
      <c r="G57">
        <v>300</v>
      </c>
      <c r="H57" t="s">
        <v>14</v>
      </c>
      <c r="I57" t="s">
        <v>30</v>
      </c>
      <c r="J57" t="s">
        <v>31</v>
      </c>
      <c r="K57" t="s">
        <v>40</v>
      </c>
    </row>
    <row r="58" spans="1:11" x14ac:dyDescent="0.35">
      <c r="A58" t="s">
        <v>110</v>
      </c>
      <c r="B58" s="1" t="d">
        <v>2025-03-15</v>
      </c>
      <c r="C58" t="s">
        <v>42</v>
      </c>
      <c r="D58" t="s">
        <v>20</v>
      </c>
      <c r="E58">
        <v>500</v>
      </c>
      <c r="F58">
        <v>1</v>
      </c>
      <c r="G58">
        <v>500</v>
      </c>
      <c r="H58" t="s">
        <v>80</v>
      </c>
      <c r="I58" t="s">
        <v>68</v>
      </c>
      <c r="J58" t="s">
        <v>16</v>
      </c>
      <c r="K58" t="s">
        <v>17</v>
      </c>
    </row>
    <row r="59" spans="1:11" x14ac:dyDescent="0.35">
      <c r="A59" t="s">
        <v>111</v>
      </c>
      <c r="B59" s="1" t="d">
        <v>2025-03-13</v>
      </c>
      <c r="C59" t="s">
        <v>42</v>
      </c>
      <c r="D59" t="s">
        <v>20</v>
      </c>
      <c r="E59">
        <v>500</v>
      </c>
      <c r="F59">
        <v>1</v>
      </c>
      <c r="G59">
        <v>500</v>
      </c>
      <c r="H59" t="s">
        <v>80</v>
      </c>
      <c r="I59" t="s">
        <v>81</v>
      </c>
      <c r="J59" t="s">
        <v>39</v>
      </c>
      <c r="K59" t="s">
        <v>17</v>
      </c>
    </row>
    <row r="60" spans="1:11" x14ac:dyDescent="0.35">
      <c r="A60" t="s">
        <v>112</v>
      </c>
      <c r="B60" s="1" t="d">
        <v>2025-04-01</v>
      </c>
      <c r="C60" t="s">
        <v>33</v>
      </c>
      <c r="D60" t="s">
        <v>20</v>
      </c>
      <c r="E60">
        <v>150</v>
      </c>
      <c r="F60">
        <v>2</v>
      </c>
      <c r="G60">
        <v>300</v>
      </c>
      <c r="H60" t="s">
        <v>57</v>
      </c>
      <c r="I60" t="s">
        <v>30</v>
      </c>
      <c r="J60" t="s">
        <v>31</v>
      </c>
      <c r="K60" t="s">
        <v>17</v>
      </c>
    </row>
    <row r="61" spans="1:11" x14ac:dyDescent="0.35">
      <c r="A61" t="s">
        <v>113</v>
      </c>
      <c r="B61" s="1" t="d">
        <v>2025-03-12</v>
      </c>
      <c r="C61" t="s">
        <v>49</v>
      </c>
      <c r="D61" t="s">
        <v>50</v>
      </c>
      <c r="E61">
        <v>15</v>
      </c>
      <c r="F61">
        <v>5</v>
      </c>
      <c r="G61">
        <v>75</v>
      </c>
      <c r="H61" t="s">
        <v>80</v>
      </c>
      <c r="I61" t="s">
        <v>30</v>
      </c>
      <c r="J61" t="s">
        <v>31</v>
      </c>
      <c r="K61" t="s">
        <v>23</v>
      </c>
    </row>
    <row r="62" spans="1:11" x14ac:dyDescent="0.35">
      <c r="A62" t="s">
        <v>114</v>
      </c>
      <c r="B62" s="1" t="d">
        <v>2025-03-11</v>
      </c>
      <c r="C62" t="s">
        <v>65</v>
      </c>
      <c r="D62" t="s">
        <v>61</v>
      </c>
      <c r="E62">
        <v>1200</v>
      </c>
      <c r="F62">
        <v>1</v>
      </c>
      <c r="G62">
        <v>1200</v>
      </c>
      <c r="H62" t="s">
        <v>80</v>
      </c>
      <c r="I62" t="s">
        <v>15</v>
      </c>
      <c r="J62" t="s">
        <v>39</v>
      </c>
      <c r="K62" t="s">
        <v>17</v>
      </c>
    </row>
    <row r="63" spans="1:11" x14ac:dyDescent="0.35">
      <c r="A63" t="s">
        <v>115</v>
      </c>
      <c r="B63" s="1" t="d">
        <v>2025-02-10</v>
      </c>
      <c r="C63" t="s">
        <v>56</v>
      </c>
      <c r="D63" t="s">
        <v>20</v>
      </c>
      <c r="E63">
        <v>800</v>
      </c>
      <c r="F63">
        <v>5</v>
      </c>
      <c r="G63">
        <v>4000</v>
      </c>
      <c r="H63" t="s">
        <v>29</v>
      </c>
      <c r="I63" t="s">
        <v>22</v>
      </c>
      <c r="J63" t="s">
        <v>39</v>
      </c>
      <c r="K63" t="s">
        <v>40</v>
      </c>
    </row>
    <row r="64" spans="1:11" x14ac:dyDescent="0.35">
      <c r="A64" t="s">
        <v>116</v>
      </c>
      <c r="B64" s="1" t="d">
        <v>2025-03-30</v>
      </c>
      <c r="C64" t="s">
        <v>42</v>
      </c>
      <c r="D64" t="s">
        <v>20</v>
      </c>
      <c r="E64">
        <v>500</v>
      </c>
      <c r="F64">
        <v>5</v>
      </c>
      <c r="G64">
        <v>2500</v>
      </c>
      <c r="H64" t="s">
        <v>14</v>
      </c>
      <c r="I64" t="s">
        <v>44</v>
      </c>
      <c r="J64" t="s">
        <v>58</v>
      </c>
      <c r="K64" t="s">
        <v>40</v>
      </c>
    </row>
    <row r="65" spans="1:11" x14ac:dyDescent="0.35">
      <c r="A65" t="s">
        <v>117</v>
      </c>
      <c r="B65" s="1" t="d">
        <v>2025-02-13</v>
      </c>
      <c r="C65" t="s">
        <v>65</v>
      </c>
      <c r="D65" t="s">
        <v>61</v>
      </c>
      <c r="E65">
        <v>1200</v>
      </c>
      <c r="F65">
        <v>4</v>
      </c>
      <c r="G65">
        <v>4800</v>
      </c>
      <c r="H65" t="s">
        <v>21</v>
      </c>
      <c r="I65" t="s">
        <v>26</v>
      </c>
      <c r="J65" t="s">
        <v>39</v>
      </c>
      <c r="K65" t="s">
        <v>23</v>
      </c>
    </row>
    <row r="66" spans="1:11" x14ac:dyDescent="0.35">
      <c r="A66" t="s">
        <v>118</v>
      </c>
      <c r="B66" s="1" t="d">
        <v>2025-03-16</v>
      </c>
      <c r="C66" t="s">
        <v>49</v>
      </c>
      <c r="D66" t="s">
        <v>50</v>
      </c>
      <c r="E66">
        <v>15</v>
      </c>
      <c r="F66">
        <v>3</v>
      </c>
      <c r="G66">
        <v>45</v>
      </c>
      <c r="H66" t="s">
        <v>14</v>
      </c>
      <c r="I66" t="s">
        <v>22</v>
      </c>
      <c r="J66" t="s">
        <v>27</v>
      </c>
      <c r="K66" t="s">
        <v>23</v>
      </c>
    </row>
    <row r="67" spans="1:11" x14ac:dyDescent="0.35">
      <c r="A67" t="s">
        <v>119</v>
      </c>
      <c r="B67" s="1" t="d">
        <v>2025-03-14</v>
      </c>
      <c r="C67" t="s">
        <v>33</v>
      </c>
      <c r="D67" t="s">
        <v>20</v>
      </c>
      <c r="E67">
        <v>150</v>
      </c>
      <c r="F67">
        <v>2</v>
      </c>
      <c r="G67">
        <v>300</v>
      </c>
      <c r="H67" t="s">
        <v>54</v>
      </c>
      <c r="I67" t="s">
        <v>26</v>
      </c>
      <c r="J67" t="s">
        <v>39</v>
      </c>
      <c r="K67" t="s">
        <v>23</v>
      </c>
    </row>
    <row r="68" spans="1:11" x14ac:dyDescent="0.35">
      <c r="A68" t="s">
        <v>120</v>
      </c>
      <c r="B68" s="1" t="d">
        <v>2025-03-31</v>
      </c>
      <c r="C68" t="s">
        <v>19</v>
      </c>
      <c r="D68" t="s">
        <v>20</v>
      </c>
      <c r="E68">
        <v>100</v>
      </c>
      <c r="F68">
        <v>3</v>
      </c>
      <c r="G68">
        <v>300</v>
      </c>
      <c r="H68" t="s">
        <v>72</v>
      </c>
      <c r="I68" t="s">
        <v>15</v>
      </c>
      <c r="J68" t="s">
        <v>16</v>
      </c>
      <c r="K68" t="s">
        <v>23</v>
      </c>
    </row>
    <row r="69" spans="1:11" x14ac:dyDescent="0.35">
      <c r="A69" t="s">
        <v>121</v>
      </c>
      <c r="B69" s="1" t="d">
        <v>2025-02-23</v>
      </c>
      <c r="C69" t="s">
        <v>19</v>
      </c>
      <c r="D69" t="s">
        <v>20</v>
      </c>
      <c r="E69">
        <v>100</v>
      </c>
      <c r="F69">
        <v>1</v>
      </c>
      <c r="G69">
        <v>100</v>
      </c>
      <c r="H69" t="s">
        <v>51</v>
      </c>
      <c r="I69" t="s">
        <v>38</v>
      </c>
      <c r="J69" t="s">
        <v>16</v>
      </c>
      <c r="K69" t="s">
        <v>17</v>
      </c>
    </row>
    <row r="70" spans="1:11" x14ac:dyDescent="0.35">
      <c r="A70" t="s">
        <v>122</v>
      </c>
      <c r="B70" s="1" t="d">
        <v>2025-02-25</v>
      </c>
      <c r="C70" t="s">
        <v>65</v>
      </c>
      <c r="D70" t="s">
        <v>61</v>
      </c>
      <c r="E70">
        <v>1200</v>
      </c>
      <c r="F70">
        <v>4</v>
      </c>
      <c r="G70">
        <v>4800</v>
      </c>
      <c r="H70" t="s">
        <v>51</v>
      </c>
      <c r="I70" t="s">
        <v>46</v>
      </c>
      <c r="J70" t="s">
        <v>58</v>
      </c>
      <c r="K70" t="s">
        <v>23</v>
      </c>
    </row>
    <row r="71" spans="1:11" x14ac:dyDescent="0.35">
      <c r="A71" t="s">
        <v>123</v>
      </c>
      <c r="B71" s="1" t="d">
        <v>2025-03-10</v>
      </c>
      <c r="C71" t="s">
        <v>49</v>
      </c>
      <c r="D71" t="s">
        <v>50</v>
      </c>
      <c r="E71">
        <v>15</v>
      </c>
      <c r="F71">
        <v>1</v>
      </c>
      <c r="G71">
        <v>15</v>
      </c>
      <c r="H71" t="s">
        <v>21</v>
      </c>
      <c r="I71" t="s">
        <v>46</v>
      </c>
      <c r="J71" t="s">
        <v>31</v>
      </c>
      <c r="K71" t="s">
        <v>40</v>
      </c>
    </row>
    <row r="72" spans="1:11" x14ac:dyDescent="0.35">
      <c r="A72" t="s">
        <v>124</v>
      </c>
      <c r="B72" s="1" t="d">
        <v>2025-03-16</v>
      </c>
      <c r="C72" t="s">
        <v>33</v>
      </c>
      <c r="D72" t="s">
        <v>20</v>
      </c>
      <c r="E72">
        <v>150</v>
      </c>
      <c r="F72">
        <v>5</v>
      </c>
      <c r="G72">
        <v>750</v>
      </c>
      <c r="H72" t="s">
        <v>25</v>
      </c>
      <c r="I72" t="s">
        <v>26</v>
      </c>
      <c r="J72" t="s">
        <v>31</v>
      </c>
      <c r="K72" t="s">
        <v>23</v>
      </c>
    </row>
    <row r="73" spans="1:11" x14ac:dyDescent="0.35">
      <c r="A73" t="s">
        <v>125</v>
      </c>
      <c r="B73" s="1" t="d">
        <v>2025-03-07</v>
      </c>
      <c r="C73" t="s">
        <v>56</v>
      </c>
      <c r="D73" t="s">
        <v>20</v>
      </c>
      <c r="E73">
        <v>800</v>
      </c>
      <c r="F73">
        <v>3</v>
      </c>
      <c r="G73">
        <v>2400</v>
      </c>
      <c r="H73" t="s">
        <v>57</v>
      </c>
      <c r="I73" t="s">
        <v>38</v>
      </c>
      <c r="J73" t="s">
        <v>31</v>
      </c>
      <c r="K73" t="s">
        <v>23</v>
      </c>
    </row>
    <row r="74" spans="1:11" x14ac:dyDescent="0.35">
      <c r="A74" t="s">
        <v>126</v>
      </c>
      <c r="B74" s="1" t="d">
        <v>2025-02-20</v>
      </c>
      <c r="C74" t="s">
        <v>42</v>
      </c>
      <c r="D74" t="s">
        <v>20</v>
      </c>
      <c r="E74">
        <v>500</v>
      </c>
      <c r="F74">
        <v>5</v>
      </c>
      <c r="G74">
        <v>2500</v>
      </c>
      <c r="H74" t="s">
        <v>21</v>
      </c>
      <c r="I74" t="s">
        <v>44</v>
      </c>
      <c r="J74" t="s">
        <v>31</v>
      </c>
      <c r="K74" t="s">
        <v>17</v>
      </c>
    </row>
    <row r="75" spans="1:11" x14ac:dyDescent="0.35">
      <c r="A75" t="s">
        <v>127</v>
      </c>
      <c r="B75" s="1" t="d">
        <v>2025-03-25</v>
      </c>
      <c r="C75" t="s">
        <v>65</v>
      </c>
      <c r="D75" t="s">
        <v>61</v>
      </c>
      <c r="E75">
        <v>1200</v>
      </c>
      <c r="F75">
        <v>4</v>
      </c>
      <c r="G75">
        <v>4800</v>
      </c>
      <c r="H75" t="s">
        <v>80</v>
      </c>
      <c r="I75" t="s">
        <v>30</v>
      </c>
      <c r="J75" t="s">
        <v>58</v>
      </c>
      <c r="K75" t="s">
        <v>17</v>
      </c>
    </row>
    <row r="76" spans="1:11" x14ac:dyDescent="0.35">
      <c r="A76" t="s">
        <v>128</v>
      </c>
      <c r="B76" s="1" t="d">
        <v>2025-02-26</v>
      </c>
      <c r="C76" t="s">
        <v>19</v>
      </c>
      <c r="D76" t="s">
        <v>20</v>
      </c>
      <c r="E76">
        <v>100</v>
      </c>
      <c r="F76">
        <v>2</v>
      </c>
      <c r="G76">
        <v>200</v>
      </c>
      <c r="H76" t="s">
        <v>57</v>
      </c>
      <c r="I76" t="s">
        <v>46</v>
      </c>
      <c r="J76" t="s">
        <v>39</v>
      </c>
      <c r="K76" t="s">
        <v>23</v>
      </c>
    </row>
    <row r="77" spans="1:11" x14ac:dyDescent="0.35">
      <c r="A77" t="s">
        <v>129</v>
      </c>
      <c r="B77" s="1" t="d">
        <v>2025-02-24</v>
      </c>
      <c r="C77" t="s">
        <v>60</v>
      </c>
      <c r="D77" t="s">
        <v>61</v>
      </c>
      <c r="E77">
        <v>600</v>
      </c>
      <c r="F77">
        <v>1</v>
      </c>
      <c r="G77">
        <v>600</v>
      </c>
      <c r="H77" t="s">
        <v>80</v>
      </c>
      <c r="I77" t="s">
        <v>30</v>
      </c>
      <c r="J77" t="s">
        <v>27</v>
      </c>
      <c r="K77" t="s">
        <v>40</v>
      </c>
    </row>
    <row r="78" spans="1:11" x14ac:dyDescent="0.35">
      <c r="A78" t="s">
        <v>130</v>
      </c>
      <c r="B78" s="1" t="d">
        <v>2025-03-20</v>
      </c>
      <c r="C78" t="s">
        <v>19</v>
      </c>
      <c r="D78" t="s">
        <v>20</v>
      </c>
      <c r="E78">
        <v>100</v>
      </c>
      <c r="F78">
        <v>2</v>
      </c>
      <c r="G78">
        <v>200</v>
      </c>
      <c r="H78" t="s">
        <v>57</v>
      </c>
      <c r="I78" t="s">
        <v>38</v>
      </c>
      <c r="J78" t="s">
        <v>31</v>
      </c>
      <c r="K78" t="s">
        <v>40</v>
      </c>
    </row>
    <row r="79" spans="1:11" x14ac:dyDescent="0.35">
      <c r="A79" t="s">
        <v>131</v>
      </c>
      <c r="B79" s="1" t="d">
        <v>2025-03-18</v>
      </c>
      <c r="C79" t="s">
        <v>33</v>
      </c>
      <c r="D79" t="s">
        <v>20</v>
      </c>
      <c r="E79">
        <v>150</v>
      </c>
      <c r="F79">
        <v>2</v>
      </c>
      <c r="G79">
        <v>300</v>
      </c>
      <c r="H79" t="s">
        <v>14</v>
      </c>
      <c r="I79" t="s">
        <v>68</v>
      </c>
      <c r="J79" t="s">
        <v>58</v>
      </c>
      <c r="K79" t="s">
        <v>17</v>
      </c>
    </row>
    <row r="80" spans="1:11" x14ac:dyDescent="0.35">
      <c r="A80" t="s">
        <v>132</v>
      </c>
      <c r="B80" s="1" t="d">
        <v>2025-03-09</v>
      </c>
      <c r="C80" t="s">
        <v>12</v>
      </c>
      <c r="D80" t="s">
        <v>13</v>
      </c>
      <c r="E80">
        <v>60</v>
      </c>
      <c r="F80">
        <v>2</v>
      </c>
      <c r="G80">
        <v>120</v>
      </c>
      <c r="H80" t="s">
        <v>21</v>
      </c>
      <c r="I80" t="s">
        <v>26</v>
      </c>
      <c r="J80" t="s">
        <v>58</v>
      </c>
      <c r="K80" t="s">
        <v>17</v>
      </c>
    </row>
    <row r="81" spans="1:11" x14ac:dyDescent="0.35">
      <c r="A81" t="s">
        <v>133</v>
      </c>
      <c r="B81" s="1" t="d">
        <v>2025-02-23</v>
      </c>
      <c r="C81" t="s">
        <v>12</v>
      </c>
      <c r="D81" t="s">
        <v>13</v>
      </c>
      <c r="E81">
        <v>60</v>
      </c>
      <c r="F81">
        <v>4</v>
      </c>
      <c r="G81">
        <v>240</v>
      </c>
      <c r="H81" t="s">
        <v>43</v>
      </c>
      <c r="I81" t="s">
        <v>22</v>
      </c>
      <c r="J81" t="s">
        <v>16</v>
      </c>
      <c r="K81" t="s">
        <v>23</v>
      </c>
    </row>
    <row r="82" spans="1:11" x14ac:dyDescent="0.35">
      <c r="A82" t="s">
        <v>134</v>
      </c>
      <c r="B82" s="1" t="d">
        <v>2025-02-26</v>
      </c>
      <c r="C82" t="s">
        <v>19</v>
      </c>
      <c r="D82" t="s">
        <v>20</v>
      </c>
      <c r="E82">
        <v>100</v>
      </c>
      <c r="F82">
        <v>3</v>
      </c>
      <c r="G82">
        <v>300</v>
      </c>
      <c r="H82" t="s">
        <v>54</v>
      </c>
      <c r="I82" t="s">
        <v>81</v>
      </c>
      <c r="J82" t="s">
        <v>39</v>
      </c>
      <c r="K82" t="s">
        <v>17</v>
      </c>
    </row>
    <row r="83" spans="1:11" x14ac:dyDescent="0.35">
      <c r="A83" t="s">
        <v>135</v>
      </c>
      <c r="B83" s="1" t="d">
        <v>2025-02-24</v>
      </c>
      <c r="C83" t="s">
        <v>42</v>
      </c>
      <c r="D83" t="s">
        <v>20</v>
      </c>
      <c r="E83">
        <v>500</v>
      </c>
      <c r="F83">
        <v>3</v>
      </c>
      <c r="G83">
        <v>1500</v>
      </c>
      <c r="H83" t="s">
        <v>80</v>
      </c>
      <c r="I83" t="s">
        <v>63</v>
      </c>
      <c r="J83" t="s">
        <v>16</v>
      </c>
      <c r="K83" t="s">
        <v>17</v>
      </c>
    </row>
    <row r="84" spans="1:11" x14ac:dyDescent="0.35">
      <c r="A84" t="s">
        <v>136</v>
      </c>
      <c r="B84" s="1" t="d">
        <v>2025-02-28</v>
      </c>
      <c r="C84" t="s">
        <v>60</v>
      </c>
      <c r="D84" t="s">
        <v>61</v>
      </c>
      <c r="E84">
        <v>600</v>
      </c>
      <c r="F84">
        <v>4</v>
      </c>
      <c r="G84">
        <v>2400</v>
      </c>
      <c r="H84" t="s">
        <v>14</v>
      </c>
      <c r="I84" t="s">
        <v>38</v>
      </c>
      <c r="J84" t="s">
        <v>58</v>
      </c>
      <c r="K84" t="s">
        <v>17</v>
      </c>
    </row>
    <row r="85" spans="1:11" x14ac:dyDescent="0.35">
      <c r="A85" t="s">
        <v>137</v>
      </c>
      <c r="B85" s="1" t="d">
        <v>2025-02-14</v>
      </c>
      <c r="C85" t="s">
        <v>35</v>
      </c>
      <c r="D85" t="s">
        <v>36</v>
      </c>
      <c r="E85">
        <v>20</v>
      </c>
      <c r="F85">
        <v>5</v>
      </c>
      <c r="G85">
        <v>100</v>
      </c>
      <c r="H85" t="s">
        <v>29</v>
      </c>
      <c r="I85" t="s">
        <v>46</v>
      </c>
      <c r="J85" t="s">
        <v>39</v>
      </c>
      <c r="K85" t="s">
        <v>40</v>
      </c>
    </row>
    <row r="86" spans="1:11" x14ac:dyDescent="0.35">
      <c r="A86" t="s">
        <v>138</v>
      </c>
      <c r="B86" s="1" t="d">
        <v>2025-02-06</v>
      </c>
      <c r="C86" t="s">
        <v>42</v>
      </c>
      <c r="D86" t="s">
        <v>20</v>
      </c>
      <c r="E86">
        <v>500</v>
      </c>
      <c r="F86">
        <v>5</v>
      </c>
      <c r="G86">
        <v>2500</v>
      </c>
      <c r="H86" t="s">
        <v>54</v>
      </c>
      <c r="I86" t="s">
        <v>38</v>
      </c>
      <c r="J86" t="s">
        <v>39</v>
      </c>
      <c r="K86" t="s">
        <v>40</v>
      </c>
    </row>
    <row r="87" spans="1:11" x14ac:dyDescent="0.35">
      <c r="A87" t="s">
        <v>139</v>
      </c>
      <c r="B87" s="1" t="d">
        <v>2025-02-25</v>
      </c>
      <c r="C87" t="s">
        <v>33</v>
      </c>
      <c r="D87" t="s">
        <v>20</v>
      </c>
      <c r="E87">
        <v>150</v>
      </c>
      <c r="F87">
        <v>5</v>
      </c>
      <c r="G87">
        <v>750</v>
      </c>
      <c r="H87" t="s">
        <v>80</v>
      </c>
      <c r="I87" t="s">
        <v>30</v>
      </c>
      <c r="J87" t="s">
        <v>39</v>
      </c>
      <c r="K87" t="s">
        <v>17</v>
      </c>
    </row>
    <row r="88" spans="1:11" x14ac:dyDescent="0.35">
      <c r="A88" t="s">
        <v>140</v>
      </c>
      <c r="B88" s="1" t="d">
        <v>2025-03-13</v>
      </c>
      <c r="C88" t="s">
        <v>12</v>
      </c>
      <c r="D88" t="s">
        <v>13</v>
      </c>
      <c r="E88">
        <v>60</v>
      </c>
      <c r="F88">
        <v>5</v>
      </c>
      <c r="G88">
        <v>300</v>
      </c>
      <c r="H88" t="s">
        <v>14</v>
      </c>
      <c r="I88" t="s">
        <v>44</v>
      </c>
      <c r="J88" t="s">
        <v>16</v>
      </c>
      <c r="K88" t="s">
        <v>40</v>
      </c>
    </row>
    <row r="89" spans="1:11" x14ac:dyDescent="0.35">
      <c r="A89" t="s">
        <v>141</v>
      </c>
      <c r="B89" s="1" t="d">
        <v>2025-02-06</v>
      </c>
      <c r="C89" t="s">
        <v>65</v>
      </c>
      <c r="D89" t="s">
        <v>61</v>
      </c>
      <c r="E89">
        <v>1200</v>
      </c>
      <c r="F89">
        <v>2</v>
      </c>
      <c r="G89">
        <v>2400</v>
      </c>
      <c r="H89" t="s">
        <v>72</v>
      </c>
      <c r="I89" t="s">
        <v>63</v>
      </c>
      <c r="J89" t="s">
        <v>16</v>
      </c>
      <c r="K89" t="s">
        <v>23</v>
      </c>
    </row>
    <row r="90" spans="1:11" x14ac:dyDescent="0.35">
      <c r="A90" t="s">
        <v>142</v>
      </c>
      <c r="B90" s="1" t="d">
        <v>2025-03-26</v>
      </c>
      <c r="C90" t="s">
        <v>12</v>
      </c>
      <c r="D90" t="s">
        <v>13</v>
      </c>
      <c r="E90">
        <v>60</v>
      </c>
      <c r="F90">
        <v>5</v>
      </c>
      <c r="G90">
        <v>300</v>
      </c>
      <c r="H90" t="s">
        <v>14</v>
      </c>
      <c r="I90" t="s">
        <v>68</v>
      </c>
      <c r="J90" t="s">
        <v>31</v>
      </c>
      <c r="K90" t="s">
        <v>17</v>
      </c>
    </row>
    <row r="91" spans="1:11" x14ac:dyDescent="0.35">
      <c r="A91" t="s">
        <v>143</v>
      </c>
      <c r="B91" s="1" t="d">
        <v>2025-03-24</v>
      </c>
      <c r="C91" t="s">
        <v>33</v>
      </c>
      <c r="D91" t="s">
        <v>20</v>
      </c>
      <c r="E91">
        <v>150</v>
      </c>
      <c r="F91">
        <v>5</v>
      </c>
      <c r="G91">
        <v>750</v>
      </c>
      <c r="H91" t="s">
        <v>21</v>
      </c>
      <c r="I91" t="s">
        <v>38</v>
      </c>
      <c r="J91" t="s">
        <v>27</v>
      </c>
      <c r="K91" t="s">
        <v>40</v>
      </c>
    </row>
    <row r="92" spans="1:11" x14ac:dyDescent="0.35">
      <c r="A92" t="s">
        <v>144</v>
      </c>
      <c r="B92" s="1" t="d">
        <v>2025-02-03</v>
      </c>
      <c r="C92" t="s">
        <v>56</v>
      </c>
      <c r="D92" t="s">
        <v>20</v>
      </c>
      <c r="E92">
        <v>800</v>
      </c>
      <c r="F92">
        <v>4</v>
      </c>
      <c r="G92">
        <v>3200</v>
      </c>
      <c r="H92" t="s">
        <v>57</v>
      </c>
      <c r="I92" t="s">
        <v>38</v>
      </c>
      <c r="J92" t="s">
        <v>58</v>
      </c>
      <c r="K92" t="s">
        <v>23</v>
      </c>
    </row>
    <row r="93" spans="1:11" x14ac:dyDescent="0.35">
      <c r="A93" t="s">
        <v>145</v>
      </c>
      <c r="B93" s="1" t="d">
        <v>2025-03-15</v>
      </c>
      <c r="C93" t="s">
        <v>42</v>
      </c>
      <c r="D93" t="s">
        <v>20</v>
      </c>
      <c r="E93">
        <v>500</v>
      </c>
      <c r="F93">
        <v>2</v>
      </c>
      <c r="G93">
        <v>1000</v>
      </c>
      <c r="H93" t="s">
        <v>29</v>
      </c>
      <c r="I93" t="s">
        <v>46</v>
      </c>
      <c r="J93" t="s">
        <v>39</v>
      </c>
      <c r="K93" t="s">
        <v>17</v>
      </c>
    </row>
    <row r="94" spans="1:11" x14ac:dyDescent="0.35">
      <c r="A94" t="s">
        <v>146</v>
      </c>
      <c r="B94" s="1" t="d">
        <v>2025-03-06</v>
      </c>
      <c r="C94" t="s">
        <v>65</v>
      </c>
      <c r="D94" t="s">
        <v>61</v>
      </c>
      <c r="E94">
        <v>1200</v>
      </c>
      <c r="F94">
        <v>5</v>
      </c>
      <c r="G94">
        <v>6000</v>
      </c>
      <c r="H94" t="s">
        <v>51</v>
      </c>
      <c r="I94" t="s">
        <v>26</v>
      </c>
      <c r="J94" t="s">
        <v>39</v>
      </c>
      <c r="K94" t="s">
        <v>17</v>
      </c>
    </row>
    <row r="95" spans="1:11" x14ac:dyDescent="0.35">
      <c r="A95" t="s">
        <v>147</v>
      </c>
      <c r="B95" s="1" t="d">
        <v>2025-03-25</v>
      </c>
      <c r="C95" t="s">
        <v>53</v>
      </c>
      <c r="D95" t="s">
        <v>36</v>
      </c>
      <c r="E95">
        <v>40</v>
      </c>
      <c r="F95">
        <v>5</v>
      </c>
      <c r="G95">
        <v>200</v>
      </c>
      <c r="H95" t="s">
        <v>57</v>
      </c>
      <c r="I95" t="s">
        <v>63</v>
      </c>
      <c r="J95" t="s">
        <v>31</v>
      </c>
      <c r="K95" t="s">
        <v>17</v>
      </c>
    </row>
    <row r="96" spans="1:11" x14ac:dyDescent="0.35">
      <c r="A96" t="s">
        <v>148</v>
      </c>
      <c r="B96" s="1" t="d">
        <v>2025-02-17</v>
      </c>
      <c r="C96" t="s">
        <v>33</v>
      </c>
      <c r="D96" t="s">
        <v>20</v>
      </c>
      <c r="E96">
        <v>150</v>
      </c>
      <c r="F96">
        <v>4</v>
      </c>
      <c r="G96">
        <v>600</v>
      </c>
      <c r="H96" t="s">
        <v>72</v>
      </c>
      <c r="I96" t="s">
        <v>15</v>
      </c>
      <c r="J96" t="s">
        <v>16</v>
      </c>
      <c r="K96" t="s">
        <v>17</v>
      </c>
    </row>
    <row r="97" spans="1:11" x14ac:dyDescent="0.35">
      <c r="A97" t="s">
        <v>149</v>
      </c>
      <c r="B97" s="1" t="d">
        <v>2025-03-30</v>
      </c>
      <c r="C97" t="s">
        <v>33</v>
      </c>
      <c r="D97" t="s">
        <v>20</v>
      </c>
      <c r="E97">
        <v>150</v>
      </c>
      <c r="F97">
        <v>3</v>
      </c>
      <c r="G97">
        <v>450</v>
      </c>
      <c r="H97" t="s">
        <v>80</v>
      </c>
      <c r="I97" t="s">
        <v>15</v>
      </c>
      <c r="J97" t="s">
        <v>27</v>
      </c>
      <c r="K97" t="s">
        <v>40</v>
      </c>
    </row>
    <row r="98" spans="1:11" x14ac:dyDescent="0.35">
      <c r="A98" t="s">
        <v>150</v>
      </c>
      <c r="B98" s="1" t="d">
        <v>2025-03-25</v>
      </c>
      <c r="C98" t="s">
        <v>49</v>
      </c>
      <c r="D98" t="s">
        <v>50</v>
      </c>
      <c r="E98">
        <v>15</v>
      </c>
      <c r="F98">
        <v>5</v>
      </c>
      <c r="G98">
        <v>75</v>
      </c>
      <c r="H98" t="s">
        <v>29</v>
      </c>
      <c r="I98" t="s">
        <v>81</v>
      </c>
      <c r="J98" t="s">
        <v>27</v>
      </c>
      <c r="K98" t="s">
        <v>23</v>
      </c>
    </row>
    <row r="99" spans="1:11" x14ac:dyDescent="0.35">
      <c r="A99" t="s">
        <v>151</v>
      </c>
      <c r="B99" s="1" t="d">
        <v>2025-02-14</v>
      </c>
      <c r="C99" t="s">
        <v>33</v>
      </c>
      <c r="D99" t="s">
        <v>20</v>
      </c>
      <c r="E99">
        <v>150</v>
      </c>
      <c r="F99">
        <v>2</v>
      </c>
      <c r="G99">
        <v>300</v>
      </c>
      <c r="H99" t="s">
        <v>72</v>
      </c>
      <c r="I99" t="s">
        <v>44</v>
      </c>
      <c r="J99" t="s">
        <v>39</v>
      </c>
      <c r="K99" t="s">
        <v>23</v>
      </c>
    </row>
    <row r="100" spans="1:11" x14ac:dyDescent="0.35">
      <c r="A100" t="s">
        <v>152</v>
      </c>
      <c r="B100" s="1" t="d">
        <v>2025-02-18</v>
      </c>
      <c r="C100" t="s">
        <v>60</v>
      </c>
      <c r="D100" t="s">
        <v>61</v>
      </c>
      <c r="E100">
        <v>600</v>
      </c>
      <c r="F100">
        <v>5</v>
      </c>
      <c r="G100">
        <v>3000</v>
      </c>
      <c r="H100" t="s">
        <v>54</v>
      </c>
      <c r="I100" t="s">
        <v>63</v>
      </c>
      <c r="J100" t="s">
        <v>16</v>
      </c>
      <c r="K100" t="s">
        <v>40</v>
      </c>
    </row>
    <row r="101" spans="1:11" x14ac:dyDescent="0.35">
      <c r="A101" t="s">
        <v>153</v>
      </c>
      <c r="B101" s="1" t="d">
        <v>2025-02-13</v>
      </c>
      <c r="C101" t="s">
        <v>12</v>
      </c>
      <c r="D101" t="s">
        <v>13</v>
      </c>
      <c r="E101">
        <v>60</v>
      </c>
      <c r="F101">
        <v>1</v>
      </c>
      <c r="G101">
        <v>60</v>
      </c>
      <c r="H101" t="s">
        <v>80</v>
      </c>
      <c r="I101" t="s">
        <v>38</v>
      </c>
      <c r="J101" t="s">
        <v>58</v>
      </c>
      <c r="K101" t="s">
        <v>17</v>
      </c>
    </row>
    <row r="102" spans="1:11" x14ac:dyDescent="0.35">
      <c r="A102" t="s">
        <v>154</v>
      </c>
      <c r="B102" s="1" t="d">
        <v>2025-02-20</v>
      </c>
      <c r="C102" t="s">
        <v>49</v>
      </c>
      <c r="D102" t="s">
        <v>50</v>
      </c>
      <c r="E102">
        <v>15</v>
      </c>
      <c r="F102">
        <v>5</v>
      </c>
      <c r="G102">
        <v>75</v>
      </c>
      <c r="H102" t="s">
        <v>25</v>
      </c>
      <c r="I102" t="s">
        <v>26</v>
      </c>
      <c r="J102" t="s">
        <v>39</v>
      </c>
      <c r="K102" t="s">
        <v>23</v>
      </c>
    </row>
    <row r="103" spans="1:11" x14ac:dyDescent="0.35">
      <c r="A103" t="s">
        <v>155</v>
      </c>
      <c r="B103" s="1" t="d">
        <v>2025-02-28</v>
      </c>
      <c r="C103" t="s">
        <v>42</v>
      </c>
      <c r="D103" t="s">
        <v>20</v>
      </c>
      <c r="E103">
        <v>500</v>
      </c>
      <c r="F103">
        <v>2</v>
      </c>
      <c r="G103">
        <v>1000</v>
      </c>
      <c r="H103" t="s">
        <v>51</v>
      </c>
      <c r="I103" t="s">
        <v>46</v>
      </c>
      <c r="J103" t="s">
        <v>39</v>
      </c>
      <c r="K103" t="s">
        <v>23</v>
      </c>
    </row>
    <row r="104" spans="1:11" x14ac:dyDescent="0.35">
      <c r="A104" t="s">
        <v>156</v>
      </c>
      <c r="B104" s="1" t="d">
        <v>2025-03-14</v>
      </c>
      <c r="C104" t="s">
        <v>35</v>
      </c>
      <c r="D104" t="s">
        <v>36</v>
      </c>
      <c r="E104">
        <v>20</v>
      </c>
      <c r="F104">
        <v>2</v>
      </c>
      <c r="G104">
        <v>40</v>
      </c>
      <c r="H104" t="s">
        <v>54</v>
      </c>
      <c r="I104" t="s">
        <v>81</v>
      </c>
      <c r="J104" t="s">
        <v>39</v>
      </c>
      <c r="K104" t="s">
        <v>23</v>
      </c>
    </row>
    <row r="105" spans="1:11" x14ac:dyDescent="0.35">
      <c r="A105" t="s">
        <v>157</v>
      </c>
      <c r="B105" s="1" t="d">
        <v>2025-02-22</v>
      </c>
      <c r="C105" t="s">
        <v>53</v>
      </c>
      <c r="D105" t="s">
        <v>36</v>
      </c>
      <c r="E105">
        <v>40</v>
      </c>
      <c r="F105">
        <v>5</v>
      </c>
      <c r="G105">
        <v>200</v>
      </c>
      <c r="H105" t="s">
        <v>80</v>
      </c>
      <c r="I105" t="s">
        <v>30</v>
      </c>
      <c r="J105" t="s">
        <v>16</v>
      </c>
      <c r="K105" t="s">
        <v>23</v>
      </c>
    </row>
    <row r="106" spans="1:11" x14ac:dyDescent="0.35">
      <c r="A106" t="s">
        <v>158</v>
      </c>
      <c r="B106" s="1" t="d">
        <v>2025-03-16</v>
      </c>
      <c r="C106" t="s">
        <v>53</v>
      </c>
      <c r="D106" t="s">
        <v>36</v>
      </c>
      <c r="E106">
        <v>40</v>
      </c>
      <c r="F106">
        <v>1</v>
      </c>
      <c r="G106">
        <v>40</v>
      </c>
      <c r="H106" t="s">
        <v>80</v>
      </c>
      <c r="I106" t="s">
        <v>46</v>
      </c>
      <c r="J106" t="s">
        <v>16</v>
      </c>
      <c r="K106" t="s">
        <v>23</v>
      </c>
    </row>
    <row r="107" spans="1:11" x14ac:dyDescent="0.35">
      <c r="A107" t="s">
        <v>159</v>
      </c>
      <c r="B107" s="1" t="d">
        <v>2025-03-15</v>
      </c>
      <c r="C107" t="s">
        <v>35</v>
      </c>
      <c r="D107" t="s">
        <v>36</v>
      </c>
      <c r="E107">
        <v>20</v>
      </c>
      <c r="F107">
        <v>3</v>
      </c>
      <c r="G107">
        <v>60</v>
      </c>
      <c r="H107" t="s">
        <v>29</v>
      </c>
      <c r="I107" t="s">
        <v>81</v>
      </c>
      <c r="J107" t="s">
        <v>39</v>
      </c>
      <c r="K107" t="s">
        <v>23</v>
      </c>
    </row>
    <row r="108" spans="1:11" x14ac:dyDescent="0.35">
      <c r="A108" t="s">
        <v>160</v>
      </c>
      <c r="B108" s="1" t="d">
        <v>2025-03-19</v>
      </c>
      <c r="C108" t="s">
        <v>53</v>
      </c>
      <c r="D108" t="s">
        <v>36</v>
      </c>
      <c r="E108">
        <v>40</v>
      </c>
      <c r="F108">
        <v>3</v>
      </c>
      <c r="G108">
        <v>120</v>
      </c>
      <c r="H108" t="s">
        <v>29</v>
      </c>
      <c r="I108" t="s">
        <v>30</v>
      </c>
      <c r="J108" t="s">
        <v>31</v>
      </c>
      <c r="K108" t="s">
        <v>17</v>
      </c>
    </row>
    <row r="109" spans="1:11" x14ac:dyDescent="0.35">
      <c r="A109" t="s">
        <v>161</v>
      </c>
      <c r="B109" s="1" t="d">
        <v>2025-03-16</v>
      </c>
      <c r="C109" t="s">
        <v>19</v>
      </c>
      <c r="D109" t="s">
        <v>20</v>
      </c>
      <c r="E109">
        <v>100</v>
      </c>
      <c r="F109">
        <v>2</v>
      </c>
      <c r="G109">
        <v>200</v>
      </c>
      <c r="H109" t="s">
        <v>57</v>
      </c>
      <c r="I109" t="s">
        <v>44</v>
      </c>
      <c r="J109" t="s">
        <v>39</v>
      </c>
      <c r="K109" t="s">
        <v>23</v>
      </c>
    </row>
    <row r="110" spans="1:11" x14ac:dyDescent="0.35">
      <c r="A110" t="s">
        <v>162</v>
      </c>
      <c r="B110" s="1" t="d">
        <v>2025-03-17</v>
      </c>
      <c r="C110" t="s">
        <v>53</v>
      </c>
      <c r="D110" t="s">
        <v>36</v>
      </c>
      <c r="E110">
        <v>40</v>
      </c>
      <c r="F110">
        <v>5</v>
      </c>
      <c r="G110">
        <v>200</v>
      </c>
      <c r="H110" t="s">
        <v>54</v>
      </c>
      <c r="I110" t="s">
        <v>15</v>
      </c>
      <c r="J110" t="s">
        <v>39</v>
      </c>
      <c r="K110" t="s">
        <v>40</v>
      </c>
    </row>
    <row r="111" spans="1:11" x14ac:dyDescent="0.35">
      <c r="A111" t="s">
        <v>163</v>
      </c>
      <c r="B111" s="1" t="d">
        <v>2025-02-18</v>
      </c>
      <c r="C111" t="s">
        <v>42</v>
      </c>
      <c r="D111" t="s">
        <v>20</v>
      </c>
      <c r="E111">
        <v>500</v>
      </c>
      <c r="F111">
        <v>5</v>
      </c>
      <c r="G111">
        <v>2500</v>
      </c>
      <c r="H111" t="s">
        <v>29</v>
      </c>
      <c r="I111" t="s">
        <v>30</v>
      </c>
      <c r="J111" t="s">
        <v>27</v>
      </c>
      <c r="K111" t="s">
        <v>23</v>
      </c>
    </row>
    <row r="112" spans="1:11" x14ac:dyDescent="0.35">
      <c r="A112" t="s">
        <v>164</v>
      </c>
      <c r="B112" s="1" t="d">
        <v>2025-03-31</v>
      </c>
      <c r="C112" t="s">
        <v>56</v>
      </c>
      <c r="D112" t="s">
        <v>20</v>
      </c>
      <c r="E112">
        <v>800</v>
      </c>
      <c r="F112">
        <v>4</v>
      </c>
      <c r="G112">
        <v>3200</v>
      </c>
      <c r="H112" t="s">
        <v>14</v>
      </c>
      <c r="I112" t="s">
        <v>68</v>
      </c>
      <c r="J112" t="s">
        <v>31</v>
      </c>
      <c r="K112" t="s">
        <v>40</v>
      </c>
    </row>
    <row r="113" spans="1:11" x14ac:dyDescent="0.35">
      <c r="A113" t="s">
        <v>165</v>
      </c>
      <c r="B113" s="1" t="d">
        <v>2025-03-06</v>
      </c>
      <c r="C113" t="s">
        <v>60</v>
      </c>
      <c r="D113" t="s">
        <v>61</v>
      </c>
      <c r="E113">
        <v>600</v>
      </c>
      <c r="F113">
        <v>2</v>
      </c>
      <c r="G113">
        <v>1200</v>
      </c>
      <c r="H113" t="s">
        <v>51</v>
      </c>
      <c r="I113" t="s">
        <v>30</v>
      </c>
      <c r="J113" t="s">
        <v>58</v>
      </c>
      <c r="K113" t="s">
        <v>17</v>
      </c>
    </row>
    <row r="114" spans="1:11" x14ac:dyDescent="0.35">
      <c r="A114" t="s">
        <v>166</v>
      </c>
      <c r="B114" s="1" t="d">
        <v>2025-03-19</v>
      </c>
      <c r="C114" t="s">
        <v>49</v>
      </c>
      <c r="D114" t="s">
        <v>50</v>
      </c>
      <c r="E114">
        <v>15</v>
      </c>
      <c r="F114">
        <v>5</v>
      </c>
      <c r="G114">
        <v>75</v>
      </c>
      <c r="H114" t="s">
        <v>51</v>
      </c>
      <c r="I114" t="s">
        <v>22</v>
      </c>
      <c r="J114" t="s">
        <v>16</v>
      </c>
      <c r="K114" t="s">
        <v>23</v>
      </c>
    </row>
    <row r="115" spans="1:11" x14ac:dyDescent="0.35">
      <c r="A115" t="s">
        <v>167</v>
      </c>
      <c r="B115" s="1" t="d">
        <v>2025-02-23</v>
      </c>
      <c r="C115" t="s">
        <v>12</v>
      </c>
      <c r="D115" t="s">
        <v>13</v>
      </c>
      <c r="E115">
        <v>60</v>
      </c>
      <c r="F115">
        <v>1</v>
      </c>
      <c r="G115">
        <v>60</v>
      </c>
      <c r="H115" t="s">
        <v>14</v>
      </c>
      <c r="I115" t="s">
        <v>38</v>
      </c>
      <c r="J115" t="s">
        <v>31</v>
      </c>
      <c r="K115" t="s">
        <v>23</v>
      </c>
    </row>
    <row r="116" spans="1:11" x14ac:dyDescent="0.35">
      <c r="A116" t="s">
        <v>168</v>
      </c>
      <c r="B116" s="1" t="d">
        <v>2025-03-21</v>
      </c>
      <c r="C116" t="s">
        <v>12</v>
      </c>
      <c r="D116" t="s">
        <v>13</v>
      </c>
      <c r="E116">
        <v>60</v>
      </c>
      <c r="F116">
        <v>3</v>
      </c>
      <c r="G116">
        <v>180</v>
      </c>
      <c r="H116" t="s">
        <v>29</v>
      </c>
      <c r="I116" t="s">
        <v>44</v>
      </c>
      <c r="J116" t="s">
        <v>27</v>
      </c>
      <c r="K116" t="s">
        <v>40</v>
      </c>
    </row>
    <row r="117" spans="1:11" x14ac:dyDescent="0.35">
      <c r="A117" t="s">
        <v>169</v>
      </c>
      <c r="B117" s="1" t="d">
        <v>2025-03-19</v>
      </c>
      <c r="C117" t="s">
        <v>56</v>
      </c>
      <c r="D117" t="s">
        <v>20</v>
      </c>
      <c r="E117">
        <v>800</v>
      </c>
      <c r="F117">
        <v>4</v>
      </c>
      <c r="G117">
        <v>3200</v>
      </c>
      <c r="H117" t="s">
        <v>14</v>
      </c>
      <c r="I117" t="s">
        <v>68</v>
      </c>
      <c r="J117" t="s">
        <v>27</v>
      </c>
      <c r="K117" t="s">
        <v>40</v>
      </c>
    </row>
    <row r="118" spans="1:11" x14ac:dyDescent="0.35">
      <c r="A118" t="s">
        <v>170</v>
      </c>
      <c r="B118" s="1" t="d">
        <v>2025-02-27</v>
      </c>
      <c r="C118" t="s">
        <v>35</v>
      </c>
      <c r="D118" t="s">
        <v>36</v>
      </c>
      <c r="E118">
        <v>20</v>
      </c>
      <c r="F118">
        <v>1</v>
      </c>
      <c r="G118">
        <v>20</v>
      </c>
      <c r="H118" t="s">
        <v>57</v>
      </c>
      <c r="I118" t="s">
        <v>15</v>
      </c>
      <c r="J118" t="s">
        <v>31</v>
      </c>
      <c r="K118" t="s">
        <v>40</v>
      </c>
    </row>
    <row r="119" spans="1:11" x14ac:dyDescent="0.35">
      <c r="A119" t="s">
        <v>171</v>
      </c>
      <c r="B119" s="1" t="d">
        <v>2025-02-10</v>
      </c>
      <c r="C119" t="s">
        <v>19</v>
      </c>
      <c r="D119" t="s">
        <v>20</v>
      </c>
      <c r="E119">
        <v>100</v>
      </c>
      <c r="F119">
        <v>5</v>
      </c>
      <c r="G119">
        <v>500</v>
      </c>
      <c r="H119" t="s">
        <v>25</v>
      </c>
      <c r="I119" t="s">
        <v>38</v>
      </c>
      <c r="J119" t="s">
        <v>27</v>
      </c>
      <c r="K119" t="s">
        <v>40</v>
      </c>
    </row>
    <row r="120" spans="1:11" x14ac:dyDescent="0.35">
      <c r="A120" t="s">
        <v>172</v>
      </c>
      <c r="B120" s="1" t="d">
        <v>2025-03-16</v>
      </c>
      <c r="C120" t="s">
        <v>42</v>
      </c>
      <c r="D120" t="s">
        <v>20</v>
      </c>
      <c r="E120">
        <v>500</v>
      </c>
      <c r="F120">
        <v>2</v>
      </c>
      <c r="G120">
        <v>1000</v>
      </c>
      <c r="H120" t="s">
        <v>72</v>
      </c>
      <c r="I120" t="s">
        <v>81</v>
      </c>
      <c r="J120" t="s">
        <v>39</v>
      </c>
      <c r="K120" t="s">
        <v>23</v>
      </c>
    </row>
    <row r="121" spans="1:11" x14ac:dyDescent="0.35">
      <c r="A121" t="s">
        <v>173</v>
      </c>
      <c r="B121" s="1" t="d">
        <v>2025-02-16</v>
      </c>
      <c r="C121" t="s">
        <v>56</v>
      </c>
      <c r="D121" t="s">
        <v>20</v>
      </c>
      <c r="E121">
        <v>800</v>
      </c>
      <c r="F121">
        <v>5</v>
      </c>
      <c r="G121">
        <v>4000</v>
      </c>
      <c r="H121" t="s">
        <v>21</v>
      </c>
      <c r="I121" t="s">
        <v>26</v>
      </c>
      <c r="J121" t="s">
        <v>39</v>
      </c>
      <c r="K121" t="s">
        <v>40</v>
      </c>
    </row>
    <row r="122" spans="1:11" x14ac:dyDescent="0.35">
      <c r="A122" t="s">
        <v>174</v>
      </c>
      <c r="B122" s="1" t="d">
        <v>2025-02-18</v>
      </c>
      <c r="C122" t="s">
        <v>42</v>
      </c>
      <c r="D122" t="s">
        <v>20</v>
      </c>
      <c r="E122">
        <v>500</v>
      </c>
      <c r="F122">
        <v>1</v>
      </c>
      <c r="G122">
        <v>500</v>
      </c>
      <c r="H122" t="s">
        <v>25</v>
      </c>
      <c r="I122" t="s">
        <v>30</v>
      </c>
      <c r="J122" t="s">
        <v>58</v>
      </c>
      <c r="K122" t="s">
        <v>23</v>
      </c>
    </row>
    <row r="123" spans="1:11" x14ac:dyDescent="0.35">
      <c r="A123" t="s">
        <v>175</v>
      </c>
      <c r="B123" s="1" t="d">
        <v>2025-03-28</v>
      </c>
      <c r="C123" t="s">
        <v>56</v>
      </c>
      <c r="D123" t="s">
        <v>20</v>
      </c>
      <c r="E123">
        <v>800</v>
      </c>
      <c r="F123">
        <v>3</v>
      </c>
      <c r="G123">
        <v>2400</v>
      </c>
      <c r="H123" t="s">
        <v>25</v>
      </c>
      <c r="I123" t="s">
        <v>44</v>
      </c>
      <c r="J123" t="s">
        <v>31</v>
      </c>
      <c r="K123" t="s">
        <v>17</v>
      </c>
    </row>
    <row r="124" spans="1:11" x14ac:dyDescent="0.35">
      <c r="A124" t="s">
        <v>176</v>
      </c>
      <c r="B124" s="1" t="d">
        <v>2025-02-23</v>
      </c>
      <c r="C124" t="s">
        <v>49</v>
      </c>
      <c r="D124" t="s">
        <v>50</v>
      </c>
      <c r="E124">
        <v>15</v>
      </c>
      <c r="F124">
        <v>3</v>
      </c>
      <c r="G124">
        <v>45</v>
      </c>
      <c r="H124" t="s">
        <v>72</v>
      </c>
      <c r="I124" t="s">
        <v>46</v>
      </c>
      <c r="J124" t="s">
        <v>58</v>
      </c>
      <c r="K124" t="s">
        <v>17</v>
      </c>
    </row>
    <row r="125" spans="1:11" x14ac:dyDescent="0.35">
      <c r="A125" t="s">
        <v>177</v>
      </c>
      <c r="B125" s="1" t="d">
        <v>2025-02-10</v>
      </c>
      <c r="C125" t="s">
        <v>49</v>
      </c>
      <c r="D125" t="s">
        <v>50</v>
      </c>
      <c r="E125">
        <v>15</v>
      </c>
      <c r="F125">
        <v>1</v>
      </c>
      <c r="G125">
        <v>15</v>
      </c>
      <c r="H125" t="s">
        <v>14</v>
      </c>
      <c r="I125" t="s">
        <v>63</v>
      </c>
      <c r="J125" t="s">
        <v>58</v>
      </c>
      <c r="K125" t="s">
        <v>23</v>
      </c>
    </row>
    <row r="126" spans="1:11" x14ac:dyDescent="0.35">
      <c r="A126" t="s">
        <v>178</v>
      </c>
      <c r="B126" s="1" t="d">
        <v>2025-02-23</v>
      </c>
      <c r="C126" t="s">
        <v>42</v>
      </c>
      <c r="D126" t="s">
        <v>20</v>
      </c>
      <c r="E126">
        <v>500</v>
      </c>
      <c r="F126">
        <v>1</v>
      </c>
      <c r="G126">
        <v>500</v>
      </c>
      <c r="H126" t="s">
        <v>21</v>
      </c>
      <c r="I126" t="s">
        <v>26</v>
      </c>
      <c r="J126" t="s">
        <v>27</v>
      </c>
      <c r="K126" t="s">
        <v>40</v>
      </c>
    </row>
    <row r="127" spans="1:11" x14ac:dyDescent="0.35">
      <c r="A127" t="s">
        <v>179</v>
      </c>
      <c r="B127" s="1" t="d">
        <v>2025-02-04</v>
      </c>
      <c r="C127" t="s">
        <v>65</v>
      </c>
      <c r="D127" t="s">
        <v>61</v>
      </c>
      <c r="E127">
        <v>1200</v>
      </c>
      <c r="F127">
        <v>5</v>
      </c>
      <c r="G127">
        <v>6000</v>
      </c>
      <c r="H127" t="s">
        <v>29</v>
      </c>
      <c r="I127" t="s">
        <v>81</v>
      </c>
      <c r="J127" t="s">
        <v>58</v>
      </c>
      <c r="K127" t="s">
        <v>23</v>
      </c>
    </row>
    <row r="128" spans="1:11" x14ac:dyDescent="0.35">
      <c r="A128" t="s">
        <v>180</v>
      </c>
      <c r="B128" s="1" t="d">
        <v>2025-02-18</v>
      </c>
      <c r="C128" t="s">
        <v>35</v>
      </c>
      <c r="D128" t="s">
        <v>36</v>
      </c>
      <c r="E128">
        <v>20</v>
      </c>
      <c r="F128">
        <v>3</v>
      </c>
      <c r="G128">
        <v>60</v>
      </c>
      <c r="H128" t="s">
        <v>14</v>
      </c>
      <c r="I128" t="s">
        <v>30</v>
      </c>
      <c r="J128" t="s">
        <v>16</v>
      </c>
      <c r="K128" t="s">
        <v>40</v>
      </c>
    </row>
    <row r="129" spans="1:11" x14ac:dyDescent="0.35">
      <c r="A129" t="s">
        <v>181</v>
      </c>
      <c r="B129" s="1" t="d">
        <v>2025-03-23</v>
      </c>
      <c r="C129" t="s">
        <v>33</v>
      </c>
      <c r="D129" t="s">
        <v>20</v>
      </c>
      <c r="E129">
        <v>150</v>
      </c>
      <c r="F129">
        <v>2</v>
      </c>
      <c r="G129">
        <v>300</v>
      </c>
      <c r="H129" t="s">
        <v>21</v>
      </c>
      <c r="I129" t="s">
        <v>30</v>
      </c>
      <c r="J129" t="s">
        <v>39</v>
      </c>
      <c r="K129" t="s">
        <v>17</v>
      </c>
    </row>
    <row r="130" spans="1:11" x14ac:dyDescent="0.35">
      <c r="A130" t="s">
        <v>182</v>
      </c>
      <c r="B130" s="1" t="d">
        <v>2025-02-26</v>
      </c>
      <c r="C130" t="s">
        <v>53</v>
      </c>
      <c r="D130" t="s">
        <v>36</v>
      </c>
      <c r="E130">
        <v>40</v>
      </c>
      <c r="F130">
        <v>5</v>
      </c>
      <c r="G130">
        <v>200</v>
      </c>
      <c r="H130" t="s">
        <v>21</v>
      </c>
      <c r="I130" t="s">
        <v>15</v>
      </c>
      <c r="J130" t="s">
        <v>16</v>
      </c>
      <c r="K130" t="s">
        <v>23</v>
      </c>
    </row>
    <row r="131" spans="1:11" x14ac:dyDescent="0.35">
      <c r="A131" t="s">
        <v>183</v>
      </c>
      <c r="B131" s="1" t="d">
        <v>2025-02-10</v>
      </c>
      <c r="C131" t="s">
        <v>33</v>
      </c>
      <c r="D131" t="s">
        <v>20</v>
      </c>
      <c r="E131">
        <v>150</v>
      </c>
      <c r="F131">
        <v>5</v>
      </c>
      <c r="G131">
        <v>750</v>
      </c>
      <c r="H131" t="s">
        <v>51</v>
      </c>
      <c r="I131" t="s">
        <v>46</v>
      </c>
      <c r="J131" t="s">
        <v>39</v>
      </c>
      <c r="K131" t="s">
        <v>40</v>
      </c>
    </row>
    <row r="132" spans="1:11" x14ac:dyDescent="0.35">
      <c r="A132" t="s">
        <v>184</v>
      </c>
      <c r="B132" s="1" t="d">
        <v>2025-02-26</v>
      </c>
      <c r="C132" t="s">
        <v>53</v>
      </c>
      <c r="D132" t="s">
        <v>36</v>
      </c>
      <c r="E132">
        <v>40</v>
      </c>
      <c r="F132">
        <v>2</v>
      </c>
      <c r="G132">
        <v>80</v>
      </c>
      <c r="H132" t="s">
        <v>57</v>
      </c>
      <c r="I132" t="s">
        <v>81</v>
      </c>
      <c r="J132" t="s">
        <v>31</v>
      </c>
      <c r="K132" t="s">
        <v>23</v>
      </c>
    </row>
    <row r="133" spans="1:11" x14ac:dyDescent="0.35">
      <c r="A133" t="s">
        <v>185</v>
      </c>
      <c r="B133" s="1" t="d">
        <v>2025-03-07</v>
      </c>
      <c r="C133" t="s">
        <v>42</v>
      </c>
      <c r="D133" t="s">
        <v>20</v>
      </c>
      <c r="E133">
        <v>500</v>
      </c>
      <c r="F133">
        <v>2</v>
      </c>
      <c r="G133">
        <v>1000</v>
      </c>
      <c r="H133" t="s">
        <v>29</v>
      </c>
      <c r="I133" t="s">
        <v>81</v>
      </c>
      <c r="J133" t="s">
        <v>16</v>
      </c>
      <c r="K133" t="s">
        <v>23</v>
      </c>
    </row>
    <row r="134" spans="1:11" x14ac:dyDescent="0.35">
      <c r="A134" t="s">
        <v>186</v>
      </c>
      <c r="B134" s="1" t="d">
        <v>2025-02-23</v>
      </c>
      <c r="C134" t="s">
        <v>56</v>
      </c>
      <c r="D134" t="s">
        <v>20</v>
      </c>
      <c r="E134">
        <v>800</v>
      </c>
      <c r="F134">
        <v>1</v>
      </c>
      <c r="G134">
        <v>800</v>
      </c>
      <c r="H134" t="s">
        <v>21</v>
      </c>
      <c r="I134" t="s">
        <v>15</v>
      </c>
      <c r="J134" t="s">
        <v>27</v>
      </c>
      <c r="K134" t="s">
        <v>23</v>
      </c>
    </row>
    <row r="135" spans="1:11" x14ac:dyDescent="0.35">
      <c r="A135" t="s">
        <v>187</v>
      </c>
      <c r="B135" s="1" t="d">
        <v>2025-02-07</v>
      </c>
      <c r="C135" t="s">
        <v>42</v>
      </c>
      <c r="D135" t="s">
        <v>20</v>
      </c>
      <c r="E135">
        <v>500</v>
      </c>
      <c r="F135">
        <v>5</v>
      </c>
      <c r="G135">
        <v>2500</v>
      </c>
      <c r="H135" t="s">
        <v>51</v>
      </c>
      <c r="I135" t="s">
        <v>81</v>
      </c>
      <c r="J135" t="s">
        <v>58</v>
      </c>
      <c r="K135" t="s">
        <v>23</v>
      </c>
    </row>
    <row r="136" spans="1:11" x14ac:dyDescent="0.35">
      <c r="A136" t="s">
        <v>188</v>
      </c>
      <c r="B136" s="1" t="d">
        <v>2025-02-10</v>
      </c>
      <c r="C136" t="s">
        <v>35</v>
      </c>
      <c r="D136" t="s">
        <v>36</v>
      </c>
      <c r="E136">
        <v>20</v>
      </c>
      <c r="F136">
        <v>1</v>
      </c>
      <c r="G136">
        <v>20</v>
      </c>
      <c r="H136" t="s">
        <v>29</v>
      </c>
      <c r="I136" t="s">
        <v>44</v>
      </c>
      <c r="J136" t="s">
        <v>31</v>
      </c>
      <c r="K136" t="s">
        <v>23</v>
      </c>
    </row>
    <row r="137" spans="1:11" x14ac:dyDescent="0.35">
      <c r="A137" t="s">
        <v>189</v>
      </c>
      <c r="B137" s="1" t="d">
        <v>2025-02-11</v>
      </c>
      <c r="C137" t="s">
        <v>65</v>
      </c>
      <c r="D137" t="s">
        <v>61</v>
      </c>
      <c r="E137">
        <v>1200</v>
      </c>
      <c r="F137">
        <v>2</v>
      </c>
      <c r="G137">
        <v>2400</v>
      </c>
      <c r="H137" t="s">
        <v>57</v>
      </c>
      <c r="I137" t="s">
        <v>22</v>
      </c>
      <c r="J137" t="s">
        <v>39</v>
      </c>
      <c r="K137" t="s">
        <v>17</v>
      </c>
    </row>
    <row r="138" spans="1:11" x14ac:dyDescent="0.35">
      <c r="A138" t="s">
        <v>190</v>
      </c>
      <c r="B138" s="1" t="d">
        <v>2025-03-20</v>
      </c>
      <c r="C138" t="s">
        <v>33</v>
      </c>
      <c r="D138" t="s">
        <v>20</v>
      </c>
      <c r="E138">
        <v>150</v>
      </c>
      <c r="F138">
        <v>3</v>
      </c>
      <c r="G138">
        <v>450</v>
      </c>
      <c r="H138" t="s">
        <v>43</v>
      </c>
      <c r="I138" t="s">
        <v>22</v>
      </c>
      <c r="J138" t="s">
        <v>16</v>
      </c>
      <c r="K138" t="s">
        <v>40</v>
      </c>
    </row>
    <row r="139" spans="1:11" x14ac:dyDescent="0.35">
      <c r="A139" t="s">
        <v>191</v>
      </c>
      <c r="B139" s="1" t="d">
        <v>2025-02-11</v>
      </c>
      <c r="C139" t="s">
        <v>33</v>
      </c>
      <c r="D139" t="s">
        <v>20</v>
      </c>
      <c r="E139">
        <v>150</v>
      </c>
      <c r="F139">
        <v>5</v>
      </c>
      <c r="G139">
        <v>750</v>
      </c>
      <c r="H139" t="s">
        <v>25</v>
      </c>
      <c r="I139" t="s">
        <v>68</v>
      </c>
      <c r="J139" t="s">
        <v>31</v>
      </c>
      <c r="K139" t="s">
        <v>17</v>
      </c>
    </row>
    <row r="140" spans="1:11" x14ac:dyDescent="0.35">
      <c r="A140" t="s">
        <v>192</v>
      </c>
      <c r="B140" s="1" t="d">
        <v>2025-03-18</v>
      </c>
      <c r="C140" t="s">
        <v>56</v>
      </c>
      <c r="D140" t="s">
        <v>20</v>
      </c>
      <c r="E140">
        <v>800</v>
      </c>
      <c r="F140">
        <v>2</v>
      </c>
      <c r="G140">
        <v>1600</v>
      </c>
      <c r="H140" t="s">
        <v>54</v>
      </c>
      <c r="I140" t="s">
        <v>26</v>
      </c>
      <c r="J140" t="s">
        <v>39</v>
      </c>
      <c r="K140" t="s">
        <v>17</v>
      </c>
    </row>
    <row r="141" spans="1:11" x14ac:dyDescent="0.35">
      <c r="A141" t="s">
        <v>193</v>
      </c>
      <c r="B141" s="1" t="d">
        <v>2025-03-19</v>
      </c>
      <c r="C141" t="s">
        <v>33</v>
      </c>
      <c r="D141" t="s">
        <v>20</v>
      </c>
      <c r="E141">
        <v>150</v>
      </c>
      <c r="F141">
        <v>2</v>
      </c>
      <c r="G141">
        <v>300</v>
      </c>
      <c r="H141" t="s">
        <v>29</v>
      </c>
      <c r="I141" t="s">
        <v>44</v>
      </c>
      <c r="J141" t="s">
        <v>16</v>
      </c>
      <c r="K141" t="s">
        <v>40</v>
      </c>
    </row>
    <row r="142" spans="1:11" x14ac:dyDescent="0.35">
      <c r="A142" t="s">
        <v>194</v>
      </c>
      <c r="B142" s="1" t="d">
        <v>2025-03-21</v>
      </c>
      <c r="C142" t="s">
        <v>42</v>
      </c>
      <c r="D142" t="s">
        <v>20</v>
      </c>
      <c r="E142">
        <v>500</v>
      </c>
      <c r="F142">
        <v>2</v>
      </c>
      <c r="G142">
        <v>1000</v>
      </c>
      <c r="H142" t="s">
        <v>25</v>
      </c>
      <c r="I142" t="s">
        <v>44</v>
      </c>
      <c r="J142" t="s">
        <v>39</v>
      </c>
      <c r="K142" t="s">
        <v>40</v>
      </c>
    </row>
    <row r="143" spans="1:11" x14ac:dyDescent="0.35">
      <c r="A143" t="s">
        <v>195</v>
      </c>
      <c r="B143" s="1" t="d">
        <v>2025-03-15</v>
      </c>
      <c r="C143" t="s">
        <v>42</v>
      </c>
      <c r="D143" t="s">
        <v>20</v>
      </c>
      <c r="E143">
        <v>500</v>
      </c>
      <c r="F143">
        <v>3</v>
      </c>
      <c r="G143">
        <v>1500</v>
      </c>
      <c r="H143" t="s">
        <v>43</v>
      </c>
      <c r="I143" t="s">
        <v>44</v>
      </c>
      <c r="J143" t="s">
        <v>58</v>
      </c>
      <c r="K143" t="s">
        <v>40</v>
      </c>
    </row>
    <row r="144" spans="1:11" x14ac:dyDescent="0.35">
      <c r="A144" t="s">
        <v>196</v>
      </c>
      <c r="B144" s="1" t="d">
        <v>2025-03-31</v>
      </c>
      <c r="C144" t="s">
        <v>65</v>
      </c>
      <c r="D144" t="s">
        <v>61</v>
      </c>
      <c r="E144">
        <v>1200</v>
      </c>
      <c r="F144">
        <v>2</v>
      </c>
      <c r="G144">
        <v>2400</v>
      </c>
      <c r="H144" t="s">
        <v>80</v>
      </c>
      <c r="I144" t="s">
        <v>30</v>
      </c>
      <c r="J144" t="s">
        <v>39</v>
      </c>
      <c r="K144" t="s">
        <v>17</v>
      </c>
    </row>
    <row r="145" spans="1:11" x14ac:dyDescent="0.35">
      <c r="A145" t="s">
        <v>197</v>
      </c>
      <c r="B145" s="1" t="d">
        <v>2025-02-27</v>
      </c>
      <c r="C145" t="s">
        <v>53</v>
      </c>
      <c r="D145" t="s">
        <v>36</v>
      </c>
      <c r="E145">
        <v>40</v>
      </c>
      <c r="F145">
        <v>2</v>
      </c>
      <c r="G145">
        <v>80</v>
      </c>
      <c r="H145" t="s">
        <v>54</v>
      </c>
      <c r="I145" t="s">
        <v>68</v>
      </c>
      <c r="J145" t="s">
        <v>58</v>
      </c>
      <c r="K145" t="s">
        <v>17</v>
      </c>
    </row>
    <row r="146" spans="1:11" x14ac:dyDescent="0.35">
      <c r="A146" t="s">
        <v>198</v>
      </c>
      <c r="B146" s="1" t="d">
        <v>2025-03-08</v>
      </c>
      <c r="C146" t="s">
        <v>33</v>
      </c>
      <c r="D146" t="s">
        <v>20</v>
      </c>
      <c r="E146">
        <v>150</v>
      </c>
      <c r="F146">
        <v>2</v>
      </c>
      <c r="G146">
        <v>300</v>
      </c>
      <c r="H146" t="s">
        <v>54</v>
      </c>
      <c r="I146" t="s">
        <v>63</v>
      </c>
      <c r="J146" t="s">
        <v>16</v>
      </c>
      <c r="K146" t="s">
        <v>17</v>
      </c>
    </row>
    <row r="147" spans="1:11" x14ac:dyDescent="0.35">
      <c r="A147" t="s">
        <v>199</v>
      </c>
      <c r="B147" s="1" t="d">
        <v>2025-03-25</v>
      </c>
      <c r="C147" t="s">
        <v>33</v>
      </c>
      <c r="D147" t="s">
        <v>20</v>
      </c>
      <c r="E147">
        <v>150</v>
      </c>
      <c r="F147">
        <v>2</v>
      </c>
      <c r="G147">
        <v>300</v>
      </c>
      <c r="H147" t="s">
        <v>14</v>
      </c>
      <c r="I147" t="s">
        <v>46</v>
      </c>
      <c r="J147" t="s">
        <v>16</v>
      </c>
      <c r="K147" t="s">
        <v>40</v>
      </c>
    </row>
    <row r="148" spans="1:11" x14ac:dyDescent="0.35">
      <c r="A148" t="s">
        <v>200</v>
      </c>
      <c r="B148" s="1" t="d">
        <v>2025-02-05</v>
      </c>
      <c r="C148" t="s">
        <v>12</v>
      </c>
      <c r="D148" t="s">
        <v>13</v>
      </c>
      <c r="E148">
        <v>60</v>
      </c>
      <c r="F148">
        <v>5</v>
      </c>
      <c r="G148">
        <v>300</v>
      </c>
      <c r="H148" t="s">
        <v>80</v>
      </c>
      <c r="I148" t="s">
        <v>30</v>
      </c>
      <c r="J148" t="s">
        <v>39</v>
      </c>
      <c r="K148" t="s">
        <v>23</v>
      </c>
    </row>
    <row r="149" spans="1:11" x14ac:dyDescent="0.35">
      <c r="A149" t="s">
        <v>201</v>
      </c>
      <c r="B149" s="1" t="d">
        <v>2025-02-06</v>
      </c>
      <c r="C149" t="s">
        <v>19</v>
      </c>
      <c r="D149" t="s">
        <v>20</v>
      </c>
      <c r="E149">
        <v>100</v>
      </c>
      <c r="F149">
        <v>4</v>
      </c>
      <c r="G149">
        <v>400</v>
      </c>
      <c r="H149" t="s">
        <v>21</v>
      </c>
      <c r="I149" t="s">
        <v>68</v>
      </c>
      <c r="J149" t="s">
        <v>27</v>
      </c>
      <c r="K149" t="s">
        <v>17</v>
      </c>
    </row>
    <row r="150" spans="1:11" x14ac:dyDescent="0.35">
      <c r="A150" t="s">
        <v>202</v>
      </c>
      <c r="B150" s="1" t="d">
        <v>2025-03-20</v>
      </c>
      <c r="C150" t="s">
        <v>12</v>
      </c>
      <c r="D150" t="s">
        <v>13</v>
      </c>
      <c r="E150">
        <v>60</v>
      </c>
      <c r="F150">
        <v>3</v>
      </c>
      <c r="G150">
        <v>180</v>
      </c>
      <c r="H150" t="s">
        <v>54</v>
      </c>
      <c r="I150" t="s">
        <v>15</v>
      </c>
      <c r="J150" t="s">
        <v>58</v>
      </c>
      <c r="K150" t="s">
        <v>23</v>
      </c>
    </row>
    <row r="151" spans="1:11" x14ac:dyDescent="0.35">
      <c r="A151" t="s">
        <v>203</v>
      </c>
      <c r="B151" s="1" t="d">
        <v>2025-02-08</v>
      </c>
      <c r="C151" t="s">
        <v>49</v>
      </c>
      <c r="D151" t="s">
        <v>50</v>
      </c>
      <c r="E151">
        <v>15</v>
      </c>
      <c r="F151">
        <v>4</v>
      </c>
      <c r="G151">
        <v>60</v>
      </c>
      <c r="H151" t="s">
        <v>57</v>
      </c>
      <c r="I151" t="s">
        <v>81</v>
      </c>
      <c r="J151" t="s">
        <v>58</v>
      </c>
      <c r="K151" t="s">
        <v>17</v>
      </c>
    </row>
    <row r="152" spans="1:11" x14ac:dyDescent="0.35">
      <c r="A152" t="s">
        <v>204</v>
      </c>
      <c r="B152" s="1" t="d">
        <v>2025-03-29</v>
      </c>
      <c r="C152" t="s">
        <v>60</v>
      </c>
      <c r="D152" t="s">
        <v>61</v>
      </c>
      <c r="E152">
        <v>600</v>
      </c>
      <c r="F152">
        <v>4</v>
      </c>
      <c r="G152">
        <v>2400</v>
      </c>
      <c r="H152" t="s">
        <v>80</v>
      </c>
      <c r="I152" t="s">
        <v>68</v>
      </c>
      <c r="J152" t="s">
        <v>27</v>
      </c>
      <c r="K152" t="s">
        <v>23</v>
      </c>
    </row>
    <row r="153" spans="1:11" x14ac:dyDescent="0.35">
      <c r="A153" t="s">
        <v>205</v>
      </c>
      <c r="B153" s="1" t="d">
        <v>2025-02-28</v>
      </c>
      <c r="C153" t="s">
        <v>33</v>
      </c>
      <c r="D153" t="s">
        <v>20</v>
      </c>
      <c r="E153">
        <v>150</v>
      </c>
      <c r="F153">
        <v>1</v>
      </c>
      <c r="G153">
        <v>150</v>
      </c>
      <c r="H153" t="s">
        <v>25</v>
      </c>
      <c r="I153" t="s">
        <v>63</v>
      </c>
      <c r="J153" t="s">
        <v>58</v>
      </c>
      <c r="K153" t="s">
        <v>40</v>
      </c>
    </row>
    <row r="154" spans="1:11" x14ac:dyDescent="0.35">
      <c r="A154" t="s">
        <v>206</v>
      </c>
      <c r="B154" s="1" t="d">
        <v>2025-02-23</v>
      </c>
      <c r="C154" t="s">
        <v>33</v>
      </c>
      <c r="D154" t="s">
        <v>20</v>
      </c>
      <c r="E154">
        <v>150</v>
      </c>
      <c r="F154">
        <v>5</v>
      </c>
      <c r="G154">
        <v>750</v>
      </c>
      <c r="H154" t="s">
        <v>43</v>
      </c>
      <c r="I154" t="s">
        <v>22</v>
      </c>
      <c r="J154" t="s">
        <v>39</v>
      </c>
      <c r="K154" t="s">
        <v>23</v>
      </c>
    </row>
    <row r="155" spans="1:11" x14ac:dyDescent="0.35">
      <c r="A155" t="s">
        <v>207</v>
      </c>
      <c r="B155" s="1" t="d">
        <v>2025-03-01</v>
      </c>
      <c r="C155" t="s">
        <v>19</v>
      </c>
      <c r="D155" t="s">
        <v>20</v>
      </c>
      <c r="E155">
        <v>100</v>
      </c>
      <c r="F155">
        <v>2</v>
      </c>
      <c r="G155">
        <v>200</v>
      </c>
      <c r="H155" t="s">
        <v>25</v>
      </c>
      <c r="I155" t="s">
        <v>26</v>
      </c>
      <c r="J155" t="s">
        <v>16</v>
      </c>
      <c r="K155" t="s">
        <v>40</v>
      </c>
    </row>
    <row r="156" spans="1:11" x14ac:dyDescent="0.35">
      <c r="A156" t="s">
        <v>208</v>
      </c>
      <c r="B156" s="1" t="d">
        <v>2025-02-05</v>
      </c>
      <c r="C156" t="s">
        <v>65</v>
      </c>
      <c r="D156" t="s">
        <v>61</v>
      </c>
      <c r="E156">
        <v>1200</v>
      </c>
      <c r="F156">
        <v>4</v>
      </c>
      <c r="G156">
        <v>4800</v>
      </c>
      <c r="H156" t="s">
        <v>43</v>
      </c>
      <c r="I156" t="s">
        <v>63</v>
      </c>
      <c r="J156" t="s">
        <v>31</v>
      </c>
      <c r="K156" t="s">
        <v>23</v>
      </c>
    </row>
    <row r="157" spans="1:11" x14ac:dyDescent="0.35">
      <c r="A157" t="s">
        <v>209</v>
      </c>
      <c r="B157" s="1" t="d">
        <v>2025-03-16</v>
      </c>
      <c r="C157" t="s">
        <v>33</v>
      </c>
      <c r="D157" t="s">
        <v>20</v>
      </c>
      <c r="E157">
        <v>150</v>
      </c>
      <c r="F157">
        <v>4</v>
      </c>
      <c r="G157">
        <v>600</v>
      </c>
      <c r="H157" t="s">
        <v>29</v>
      </c>
      <c r="I157" t="s">
        <v>44</v>
      </c>
      <c r="J157" t="s">
        <v>39</v>
      </c>
      <c r="K157" t="s">
        <v>17</v>
      </c>
    </row>
    <row r="158" spans="1:11" x14ac:dyDescent="0.35">
      <c r="A158" t="s">
        <v>210</v>
      </c>
      <c r="B158" s="1" t="d">
        <v>2025-02-08</v>
      </c>
      <c r="C158" t="s">
        <v>42</v>
      </c>
      <c r="D158" t="s">
        <v>20</v>
      </c>
      <c r="E158">
        <v>500</v>
      </c>
      <c r="F158">
        <v>3</v>
      </c>
      <c r="G158">
        <v>1500</v>
      </c>
      <c r="H158" t="s">
        <v>43</v>
      </c>
      <c r="I158" t="s">
        <v>26</v>
      </c>
      <c r="J158" t="s">
        <v>31</v>
      </c>
      <c r="K158" t="s">
        <v>23</v>
      </c>
    </row>
    <row r="159" spans="1:11" x14ac:dyDescent="0.35">
      <c r="A159" t="s">
        <v>211</v>
      </c>
      <c r="B159" s="1" t="d">
        <v>2025-02-24</v>
      </c>
      <c r="C159" t="s">
        <v>56</v>
      </c>
      <c r="D159" t="s">
        <v>20</v>
      </c>
      <c r="E159">
        <v>800</v>
      </c>
      <c r="F159">
        <v>3</v>
      </c>
      <c r="G159">
        <v>2400</v>
      </c>
      <c r="H159" t="s">
        <v>72</v>
      </c>
      <c r="I159" t="s">
        <v>44</v>
      </c>
      <c r="J159" t="s">
        <v>16</v>
      </c>
      <c r="K159" t="s">
        <v>23</v>
      </c>
    </row>
    <row r="160" spans="1:11" x14ac:dyDescent="0.35">
      <c r="A160" t="s">
        <v>212</v>
      </c>
      <c r="B160" s="1" t="d">
        <v>2025-02-16</v>
      </c>
      <c r="C160" t="s">
        <v>35</v>
      </c>
      <c r="D160" t="s">
        <v>36</v>
      </c>
      <c r="E160">
        <v>20</v>
      </c>
      <c r="F160">
        <v>2</v>
      </c>
      <c r="G160">
        <v>40</v>
      </c>
      <c r="H160" t="s">
        <v>51</v>
      </c>
      <c r="I160" t="s">
        <v>30</v>
      </c>
      <c r="J160" t="s">
        <v>58</v>
      </c>
      <c r="K160" t="s">
        <v>17</v>
      </c>
    </row>
    <row r="161" spans="1:11" x14ac:dyDescent="0.35">
      <c r="A161" t="s">
        <v>213</v>
      </c>
      <c r="B161" s="1" t="d">
        <v>2025-02-06</v>
      </c>
      <c r="C161" t="s">
        <v>60</v>
      </c>
      <c r="D161" t="s">
        <v>61</v>
      </c>
      <c r="E161">
        <v>600</v>
      </c>
      <c r="F161">
        <v>3</v>
      </c>
      <c r="G161">
        <v>1800</v>
      </c>
      <c r="H161" t="s">
        <v>29</v>
      </c>
      <c r="I161" t="s">
        <v>26</v>
      </c>
      <c r="J161" t="s">
        <v>58</v>
      </c>
      <c r="K161" t="s">
        <v>17</v>
      </c>
    </row>
    <row r="162" spans="1:11" x14ac:dyDescent="0.35">
      <c r="A162" t="s">
        <v>214</v>
      </c>
      <c r="B162" s="1" t="d">
        <v>2025-02-22</v>
      </c>
      <c r="C162" t="s">
        <v>19</v>
      </c>
      <c r="D162" t="s">
        <v>20</v>
      </c>
      <c r="E162">
        <v>100</v>
      </c>
      <c r="F162">
        <v>1</v>
      </c>
      <c r="G162">
        <v>100</v>
      </c>
      <c r="H162" t="s">
        <v>21</v>
      </c>
      <c r="I162" t="s">
        <v>68</v>
      </c>
      <c r="J162" t="s">
        <v>31</v>
      </c>
      <c r="K162" t="s">
        <v>40</v>
      </c>
    </row>
    <row r="163" spans="1:11" x14ac:dyDescent="0.35">
      <c r="A163" t="s">
        <v>215</v>
      </c>
      <c r="B163" s="1" t="d">
        <v>2025-02-09</v>
      </c>
      <c r="C163" t="s">
        <v>42</v>
      </c>
      <c r="D163" t="s">
        <v>20</v>
      </c>
      <c r="E163">
        <v>500</v>
      </c>
      <c r="F163">
        <v>2</v>
      </c>
      <c r="G163">
        <v>1000</v>
      </c>
      <c r="H163" t="s">
        <v>29</v>
      </c>
      <c r="I163" t="s">
        <v>81</v>
      </c>
      <c r="J163" t="s">
        <v>31</v>
      </c>
      <c r="K163" t="s">
        <v>40</v>
      </c>
    </row>
    <row r="164" spans="1:11" x14ac:dyDescent="0.35">
      <c r="A164" t="s">
        <v>216</v>
      </c>
      <c r="B164" s="1" t="d">
        <v>2025-02-20</v>
      </c>
      <c r="C164" t="s">
        <v>12</v>
      </c>
      <c r="D164" t="s">
        <v>13</v>
      </c>
      <c r="E164">
        <v>60</v>
      </c>
      <c r="F164">
        <v>2</v>
      </c>
      <c r="G164">
        <v>120</v>
      </c>
      <c r="H164" t="s">
        <v>72</v>
      </c>
      <c r="I164" t="s">
        <v>38</v>
      </c>
      <c r="J164" t="s">
        <v>39</v>
      </c>
      <c r="K164" t="s">
        <v>40</v>
      </c>
    </row>
    <row r="165" spans="1:11" x14ac:dyDescent="0.35">
      <c r="A165" t="s">
        <v>217</v>
      </c>
      <c r="B165" s="1" t="d">
        <v>2025-02-25</v>
      </c>
      <c r="C165" t="s">
        <v>33</v>
      </c>
      <c r="D165" t="s">
        <v>20</v>
      </c>
      <c r="E165">
        <v>150</v>
      </c>
      <c r="F165">
        <v>5</v>
      </c>
      <c r="G165">
        <v>750</v>
      </c>
      <c r="H165" t="s">
        <v>54</v>
      </c>
      <c r="I165" t="s">
        <v>46</v>
      </c>
      <c r="J165" t="s">
        <v>16</v>
      </c>
      <c r="K165" t="s">
        <v>23</v>
      </c>
    </row>
    <row r="166" spans="1:11" x14ac:dyDescent="0.35">
      <c r="A166" t="s">
        <v>218</v>
      </c>
      <c r="B166" s="1" t="d">
        <v>2025-03-14</v>
      </c>
      <c r="C166" t="s">
        <v>49</v>
      </c>
      <c r="D166" t="s">
        <v>50</v>
      </c>
      <c r="E166">
        <v>15</v>
      </c>
      <c r="F166">
        <v>1</v>
      </c>
      <c r="G166">
        <v>15</v>
      </c>
      <c r="H166" t="s">
        <v>51</v>
      </c>
      <c r="I166" t="s">
        <v>15</v>
      </c>
      <c r="J166" t="s">
        <v>27</v>
      </c>
      <c r="K166" t="s">
        <v>23</v>
      </c>
    </row>
    <row r="167" spans="1:11" x14ac:dyDescent="0.35">
      <c r="A167" t="s">
        <v>219</v>
      </c>
      <c r="B167" s="1" t="d">
        <v>2025-03-30</v>
      </c>
      <c r="C167" t="s">
        <v>60</v>
      </c>
      <c r="D167" t="s">
        <v>61</v>
      </c>
      <c r="E167">
        <v>600</v>
      </c>
      <c r="F167">
        <v>4</v>
      </c>
      <c r="G167">
        <v>2400</v>
      </c>
      <c r="H167" t="s">
        <v>72</v>
      </c>
      <c r="I167" t="s">
        <v>38</v>
      </c>
      <c r="J167" t="s">
        <v>31</v>
      </c>
      <c r="K167" t="s">
        <v>23</v>
      </c>
    </row>
    <row r="168" spans="1:11" x14ac:dyDescent="0.35">
      <c r="A168" t="s">
        <v>220</v>
      </c>
      <c r="B168" s="1" t="d">
        <v>2025-03-20</v>
      </c>
      <c r="C168" t="s">
        <v>65</v>
      </c>
      <c r="D168" t="s">
        <v>61</v>
      </c>
      <c r="E168">
        <v>1200</v>
      </c>
      <c r="F168">
        <v>2</v>
      </c>
      <c r="G168">
        <v>2400</v>
      </c>
      <c r="H168" t="s">
        <v>29</v>
      </c>
      <c r="I168" t="s">
        <v>63</v>
      </c>
      <c r="J168" t="s">
        <v>31</v>
      </c>
      <c r="K168" t="s">
        <v>40</v>
      </c>
    </row>
    <row r="169" spans="1:11" x14ac:dyDescent="0.35">
      <c r="A169" t="s">
        <v>221</v>
      </c>
      <c r="B169" s="1" t="d">
        <v>2025-03-24</v>
      </c>
      <c r="C169" t="s">
        <v>56</v>
      </c>
      <c r="D169" t="s">
        <v>20</v>
      </c>
      <c r="E169">
        <v>800</v>
      </c>
      <c r="F169">
        <v>5</v>
      </c>
      <c r="G169">
        <v>4000</v>
      </c>
      <c r="H169" t="s">
        <v>54</v>
      </c>
      <c r="I169" t="s">
        <v>44</v>
      </c>
      <c r="J169" t="s">
        <v>16</v>
      </c>
      <c r="K169" t="s">
        <v>23</v>
      </c>
    </row>
    <row r="170" spans="1:11" x14ac:dyDescent="0.35">
      <c r="A170" t="s">
        <v>222</v>
      </c>
      <c r="B170" s="1" t="d">
        <v>2025-03-06</v>
      </c>
      <c r="C170" t="s">
        <v>65</v>
      </c>
      <c r="D170" t="s">
        <v>61</v>
      </c>
      <c r="E170">
        <v>1200</v>
      </c>
      <c r="F170">
        <v>2</v>
      </c>
      <c r="G170">
        <v>2400</v>
      </c>
      <c r="H170" t="s">
        <v>25</v>
      </c>
      <c r="I170" t="s">
        <v>26</v>
      </c>
      <c r="J170" t="s">
        <v>39</v>
      </c>
      <c r="K170" t="s">
        <v>40</v>
      </c>
    </row>
    <row r="171" spans="1:11" x14ac:dyDescent="0.35">
      <c r="A171" t="s">
        <v>223</v>
      </c>
      <c r="B171" s="1" t="d">
        <v>2025-02-28</v>
      </c>
      <c r="C171" t="s">
        <v>56</v>
      </c>
      <c r="D171" t="s">
        <v>20</v>
      </c>
      <c r="E171">
        <v>800</v>
      </c>
      <c r="F171">
        <v>1</v>
      </c>
      <c r="G171">
        <v>800</v>
      </c>
      <c r="H171" t="s">
        <v>14</v>
      </c>
      <c r="I171" t="s">
        <v>22</v>
      </c>
      <c r="J171" t="s">
        <v>58</v>
      </c>
      <c r="K171" t="s">
        <v>23</v>
      </c>
    </row>
    <row r="172" spans="1:11" x14ac:dyDescent="0.35">
      <c r="A172" t="s">
        <v>224</v>
      </c>
      <c r="B172" s="1" t="d">
        <v>2025-02-28</v>
      </c>
      <c r="C172" t="s">
        <v>33</v>
      </c>
      <c r="D172" t="s">
        <v>20</v>
      </c>
      <c r="E172">
        <v>150</v>
      </c>
      <c r="F172">
        <v>2</v>
      </c>
      <c r="G172">
        <v>300</v>
      </c>
      <c r="H172" t="s">
        <v>57</v>
      </c>
      <c r="I172" t="s">
        <v>38</v>
      </c>
      <c r="J172" t="s">
        <v>39</v>
      </c>
      <c r="K172" t="s">
        <v>40</v>
      </c>
    </row>
    <row r="173" spans="1:11" x14ac:dyDescent="0.35">
      <c r="A173" t="s">
        <v>225</v>
      </c>
      <c r="B173" s="1" t="d">
        <v>2025-03-12</v>
      </c>
      <c r="C173" t="s">
        <v>49</v>
      </c>
      <c r="D173" t="s">
        <v>50</v>
      </c>
      <c r="E173">
        <v>15</v>
      </c>
      <c r="F173">
        <v>1</v>
      </c>
      <c r="G173">
        <v>15</v>
      </c>
      <c r="H173" t="s">
        <v>51</v>
      </c>
      <c r="I173" t="s">
        <v>44</v>
      </c>
      <c r="J173" t="s">
        <v>16</v>
      </c>
      <c r="K173" t="s">
        <v>17</v>
      </c>
    </row>
    <row r="174" spans="1:11" x14ac:dyDescent="0.35">
      <c r="A174" t="s">
        <v>226</v>
      </c>
      <c r="B174" s="1" t="d">
        <v>2025-02-28</v>
      </c>
      <c r="C174" t="s">
        <v>65</v>
      </c>
      <c r="D174" t="s">
        <v>61</v>
      </c>
      <c r="E174">
        <v>1200</v>
      </c>
      <c r="F174">
        <v>1</v>
      </c>
      <c r="G174">
        <v>1200</v>
      </c>
      <c r="H174" t="s">
        <v>29</v>
      </c>
      <c r="I174" t="s">
        <v>63</v>
      </c>
      <c r="J174" t="s">
        <v>39</v>
      </c>
      <c r="K174" t="s">
        <v>40</v>
      </c>
    </row>
    <row r="175" spans="1:11" x14ac:dyDescent="0.35">
      <c r="A175" t="s">
        <v>227</v>
      </c>
      <c r="B175" s="1" t="d">
        <v>2025-03-13</v>
      </c>
      <c r="C175" t="s">
        <v>33</v>
      </c>
      <c r="D175" t="s">
        <v>20</v>
      </c>
      <c r="E175">
        <v>150</v>
      </c>
      <c r="F175">
        <v>2</v>
      </c>
      <c r="G175">
        <v>300</v>
      </c>
      <c r="H175" t="s">
        <v>51</v>
      </c>
      <c r="I175" t="s">
        <v>81</v>
      </c>
      <c r="J175" t="s">
        <v>16</v>
      </c>
      <c r="K175" t="s">
        <v>23</v>
      </c>
    </row>
    <row r="176" spans="1:11" x14ac:dyDescent="0.35">
      <c r="A176" t="s">
        <v>228</v>
      </c>
      <c r="B176" s="1" t="d">
        <v>2025-03-24</v>
      </c>
      <c r="C176" t="s">
        <v>53</v>
      </c>
      <c r="D176" t="s">
        <v>36</v>
      </c>
      <c r="E176">
        <v>40</v>
      </c>
      <c r="F176">
        <v>5</v>
      </c>
      <c r="G176">
        <v>200</v>
      </c>
      <c r="H176" t="s">
        <v>51</v>
      </c>
      <c r="I176" t="s">
        <v>15</v>
      </c>
      <c r="J176" t="s">
        <v>16</v>
      </c>
      <c r="K176" t="s">
        <v>17</v>
      </c>
    </row>
    <row r="177" spans="1:11" x14ac:dyDescent="0.35">
      <c r="A177" t="s">
        <v>229</v>
      </c>
      <c r="B177" s="1" t="d">
        <v>2025-03-27</v>
      </c>
      <c r="C177" t="s">
        <v>49</v>
      </c>
      <c r="D177" t="s">
        <v>50</v>
      </c>
      <c r="E177">
        <v>15</v>
      </c>
      <c r="F177">
        <v>1</v>
      </c>
      <c r="G177">
        <v>15</v>
      </c>
      <c r="H177" t="s">
        <v>54</v>
      </c>
      <c r="I177" t="s">
        <v>46</v>
      </c>
      <c r="J177" t="s">
        <v>27</v>
      </c>
      <c r="K177" t="s">
        <v>40</v>
      </c>
    </row>
    <row r="178" spans="1:11" x14ac:dyDescent="0.35">
      <c r="A178" t="s">
        <v>230</v>
      </c>
      <c r="B178" s="1" t="d">
        <v>2025-03-14</v>
      </c>
      <c r="C178" t="s">
        <v>49</v>
      </c>
      <c r="D178" t="s">
        <v>50</v>
      </c>
      <c r="E178">
        <v>15</v>
      </c>
      <c r="F178">
        <v>5</v>
      </c>
      <c r="G178">
        <v>75</v>
      </c>
      <c r="H178" t="s">
        <v>51</v>
      </c>
      <c r="I178" t="s">
        <v>22</v>
      </c>
      <c r="J178" t="s">
        <v>31</v>
      </c>
      <c r="K178" t="s">
        <v>23</v>
      </c>
    </row>
    <row r="179" spans="1:11" x14ac:dyDescent="0.35">
      <c r="A179" t="s">
        <v>231</v>
      </c>
      <c r="B179" s="1" t="d">
        <v>2025-02-06</v>
      </c>
      <c r="C179" t="s">
        <v>42</v>
      </c>
      <c r="D179" t="s">
        <v>20</v>
      </c>
      <c r="E179">
        <v>500</v>
      </c>
      <c r="F179">
        <v>3</v>
      </c>
      <c r="G179">
        <v>1500</v>
      </c>
      <c r="H179" t="s">
        <v>21</v>
      </c>
      <c r="I179" t="s">
        <v>81</v>
      </c>
      <c r="J179" t="s">
        <v>39</v>
      </c>
      <c r="K179" t="s">
        <v>40</v>
      </c>
    </row>
    <row r="180" spans="1:11" x14ac:dyDescent="0.35">
      <c r="A180" t="s">
        <v>232</v>
      </c>
      <c r="B180" s="1" t="d">
        <v>2025-03-25</v>
      </c>
      <c r="C180" t="s">
        <v>53</v>
      </c>
      <c r="D180" t="s">
        <v>36</v>
      </c>
      <c r="E180">
        <v>40</v>
      </c>
      <c r="F180">
        <v>1</v>
      </c>
      <c r="G180">
        <v>40</v>
      </c>
      <c r="H180" t="s">
        <v>29</v>
      </c>
      <c r="I180" t="s">
        <v>63</v>
      </c>
      <c r="J180" t="s">
        <v>39</v>
      </c>
      <c r="K180" t="s">
        <v>17</v>
      </c>
    </row>
    <row r="181" spans="1:11" x14ac:dyDescent="0.35">
      <c r="A181" t="s">
        <v>233</v>
      </c>
      <c r="B181" s="1" t="d">
        <v>2025-03-04</v>
      </c>
      <c r="C181" t="s">
        <v>65</v>
      </c>
      <c r="D181" t="s">
        <v>61</v>
      </c>
      <c r="E181">
        <v>1200</v>
      </c>
      <c r="F181">
        <v>3</v>
      </c>
      <c r="G181">
        <v>3600</v>
      </c>
      <c r="H181" t="s">
        <v>51</v>
      </c>
      <c r="I181" t="s">
        <v>46</v>
      </c>
      <c r="J181" t="s">
        <v>58</v>
      </c>
      <c r="K181" t="s">
        <v>40</v>
      </c>
    </row>
    <row r="182" spans="1:11" x14ac:dyDescent="0.35">
      <c r="A182" t="s">
        <v>234</v>
      </c>
      <c r="B182" s="1" t="d">
        <v>2025-03-03</v>
      </c>
      <c r="C182" t="s">
        <v>12</v>
      </c>
      <c r="D182" t="s">
        <v>13</v>
      </c>
      <c r="E182">
        <v>60</v>
      </c>
      <c r="F182">
        <v>2</v>
      </c>
      <c r="G182">
        <v>120</v>
      </c>
      <c r="H182" t="s">
        <v>51</v>
      </c>
      <c r="I182" t="s">
        <v>68</v>
      </c>
      <c r="J182" t="s">
        <v>16</v>
      </c>
      <c r="K182" t="s">
        <v>17</v>
      </c>
    </row>
    <row r="183" spans="1:11" x14ac:dyDescent="0.35">
      <c r="A183" t="s">
        <v>235</v>
      </c>
      <c r="B183" s="1" t="d">
        <v>2025-04-02</v>
      </c>
      <c r="C183" t="s">
        <v>35</v>
      </c>
      <c r="D183" t="s">
        <v>36</v>
      </c>
      <c r="E183">
        <v>20</v>
      </c>
      <c r="F183">
        <v>5</v>
      </c>
      <c r="G183">
        <v>100</v>
      </c>
      <c r="H183" t="s">
        <v>14</v>
      </c>
      <c r="I183" t="s">
        <v>26</v>
      </c>
      <c r="J183" t="s">
        <v>39</v>
      </c>
      <c r="K183" t="s">
        <v>40</v>
      </c>
    </row>
    <row r="184" spans="1:11" x14ac:dyDescent="0.35">
      <c r="A184" t="s">
        <v>236</v>
      </c>
      <c r="B184" s="1" t="d">
        <v>2025-03-25</v>
      </c>
      <c r="C184" t="s">
        <v>60</v>
      </c>
      <c r="D184" t="s">
        <v>61</v>
      </c>
      <c r="E184">
        <v>600</v>
      </c>
      <c r="F184">
        <v>1</v>
      </c>
      <c r="G184">
        <v>600</v>
      </c>
      <c r="H184" t="s">
        <v>14</v>
      </c>
      <c r="I184" t="s">
        <v>63</v>
      </c>
      <c r="J184" t="s">
        <v>16</v>
      </c>
      <c r="K184" t="s">
        <v>23</v>
      </c>
    </row>
    <row r="185" spans="1:11" x14ac:dyDescent="0.35">
      <c r="A185" t="s">
        <v>237</v>
      </c>
      <c r="B185" s="1" t="d">
        <v>2025-02-17</v>
      </c>
      <c r="C185" t="s">
        <v>49</v>
      </c>
      <c r="D185" t="s">
        <v>50</v>
      </c>
      <c r="E185">
        <v>15</v>
      </c>
      <c r="F185">
        <v>5</v>
      </c>
      <c r="G185">
        <v>75</v>
      </c>
      <c r="H185" t="s">
        <v>57</v>
      </c>
      <c r="I185" t="s">
        <v>44</v>
      </c>
      <c r="J185" t="s">
        <v>16</v>
      </c>
      <c r="K185" t="s">
        <v>23</v>
      </c>
    </row>
    <row r="186" spans="1:11" x14ac:dyDescent="0.35">
      <c r="A186" t="s">
        <v>238</v>
      </c>
      <c r="B186" s="1" t="d">
        <v>2025-03-22</v>
      </c>
      <c r="C186" t="s">
        <v>35</v>
      </c>
      <c r="D186" t="s">
        <v>36</v>
      </c>
      <c r="E186">
        <v>20</v>
      </c>
      <c r="F186">
        <v>1</v>
      </c>
      <c r="G186">
        <v>20</v>
      </c>
      <c r="H186" t="s">
        <v>72</v>
      </c>
      <c r="I186" t="s">
        <v>30</v>
      </c>
      <c r="J186" t="s">
        <v>16</v>
      </c>
      <c r="K186" t="s">
        <v>40</v>
      </c>
    </row>
    <row r="187" spans="1:11" x14ac:dyDescent="0.35">
      <c r="A187" t="s">
        <v>239</v>
      </c>
      <c r="B187" s="1" t="d">
        <v>2025-03-02</v>
      </c>
      <c r="C187" t="s">
        <v>60</v>
      </c>
      <c r="D187" t="s">
        <v>61</v>
      </c>
      <c r="E187">
        <v>600</v>
      </c>
      <c r="F187">
        <v>4</v>
      </c>
      <c r="G187">
        <v>2400</v>
      </c>
      <c r="H187" t="s">
        <v>54</v>
      </c>
      <c r="I187" t="s">
        <v>15</v>
      </c>
      <c r="J187" t="s">
        <v>39</v>
      </c>
      <c r="K187" t="s">
        <v>40</v>
      </c>
    </row>
    <row r="188" spans="1:11" x14ac:dyDescent="0.35">
      <c r="A188" t="s">
        <v>240</v>
      </c>
      <c r="B188" s="1" t="d">
        <v>2025-03-13</v>
      </c>
      <c r="C188" t="s">
        <v>56</v>
      </c>
      <c r="D188" t="s">
        <v>20</v>
      </c>
      <c r="E188">
        <v>800</v>
      </c>
      <c r="F188">
        <v>3</v>
      </c>
      <c r="G188">
        <v>2400</v>
      </c>
      <c r="H188" t="s">
        <v>25</v>
      </c>
      <c r="I188" t="s">
        <v>15</v>
      </c>
      <c r="J188" t="s">
        <v>39</v>
      </c>
      <c r="K188" t="s">
        <v>23</v>
      </c>
    </row>
    <row r="189" spans="1:11" x14ac:dyDescent="0.35">
      <c r="A189" t="s">
        <v>241</v>
      </c>
      <c r="B189" s="1" t="d">
        <v>2025-02-14</v>
      </c>
      <c r="C189" t="s">
        <v>49</v>
      </c>
      <c r="D189" t="s">
        <v>50</v>
      </c>
      <c r="E189">
        <v>15</v>
      </c>
      <c r="F189">
        <v>1</v>
      </c>
      <c r="G189">
        <v>15</v>
      </c>
      <c r="H189" t="s">
        <v>25</v>
      </c>
      <c r="I189" t="s">
        <v>46</v>
      </c>
      <c r="J189" t="s">
        <v>27</v>
      </c>
      <c r="K189" t="s">
        <v>40</v>
      </c>
    </row>
    <row r="190" spans="1:11" x14ac:dyDescent="0.35">
      <c r="A190" t="s">
        <v>242</v>
      </c>
      <c r="B190" s="1" t="d">
        <v>2025-02-10</v>
      </c>
      <c r="C190" t="s">
        <v>56</v>
      </c>
      <c r="D190" t="s">
        <v>20</v>
      </c>
      <c r="E190">
        <v>800</v>
      </c>
      <c r="F190">
        <v>3</v>
      </c>
      <c r="G190">
        <v>2400</v>
      </c>
      <c r="H190" t="s">
        <v>80</v>
      </c>
      <c r="I190" t="s">
        <v>38</v>
      </c>
      <c r="J190" t="s">
        <v>27</v>
      </c>
      <c r="K190" t="s">
        <v>40</v>
      </c>
    </row>
    <row r="191" spans="1:11" x14ac:dyDescent="0.35">
      <c r="A191" t="s">
        <v>243</v>
      </c>
      <c r="B191" s="1" t="d">
        <v>2025-02-23</v>
      </c>
      <c r="C191" t="s">
        <v>12</v>
      </c>
      <c r="D191" t="s">
        <v>13</v>
      </c>
      <c r="E191">
        <v>60</v>
      </c>
      <c r="F191">
        <v>1</v>
      </c>
      <c r="G191">
        <v>60</v>
      </c>
      <c r="H191" t="s">
        <v>43</v>
      </c>
      <c r="I191" t="s">
        <v>38</v>
      </c>
      <c r="J191" t="s">
        <v>39</v>
      </c>
      <c r="K191" t="s">
        <v>40</v>
      </c>
    </row>
    <row r="192" spans="1:11" x14ac:dyDescent="0.35">
      <c r="A192" t="s">
        <v>244</v>
      </c>
      <c r="B192" s="1" t="d">
        <v>2025-02-28</v>
      </c>
      <c r="C192" t="s">
        <v>53</v>
      </c>
      <c r="D192" t="s">
        <v>36</v>
      </c>
      <c r="E192">
        <v>40</v>
      </c>
      <c r="F192">
        <v>4</v>
      </c>
      <c r="G192">
        <v>160</v>
      </c>
      <c r="H192" t="s">
        <v>25</v>
      </c>
      <c r="I192" t="s">
        <v>63</v>
      </c>
      <c r="J192" t="s">
        <v>27</v>
      </c>
      <c r="K192" t="s">
        <v>23</v>
      </c>
    </row>
    <row r="193" spans="1:11" x14ac:dyDescent="0.35">
      <c r="A193" t="s">
        <v>245</v>
      </c>
      <c r="B193" s="1" t="d">
        <v>2025-03-31</v>
      </c>
      <c r="C193" t="s">
        <v>19</v>
      </c>
      <c r="D193" t="s">
        <v>20</v>
      </c>
      <c r="E193">
        <v>100</v>
      </c>
      <c r="F193">
        <v>3</v>
      </c>
      <c r="G193">
        <v>300</v>
      </c>
      <c r="H193" t="s">
        <v>43</v>
      </c>
      <c r="I193" t="s">
        <v>30</v>
      </c>
      <c r="J193" t="s">
        <v>58</v>
      </c>
      <c r="K193" t="s">
        <v>23</v>
      </c>
    </row>
    <row r="194" spans="1:11" x14ac:dyDescent="0.35">
      <c r="A194" t="s">
        <v>246</v>
      </c>
      <c r="B194" s="1" t="d">
        <v>2025-03-30</v>
      </c>
      <c r="C194" t="s">
        <v>49</v>
      </c>
      <c r="D194" t="s">
        <v>50</v>
      </c>
      <c r="E194">
        <v>15</v>
      </c>
      <c r="F194">
        <v>5</v>
      </c>
      <c r="G194">
        <v>75</v>
      </c>
      <c r="H194" t="s">
        <v>51</v>
      </c>
      <c r="I194" t="s">
        <v>81</v>
      </c>
      <c r="J194" t="s">
        <v>27</v>
      </c>
      <c r="K194" t="s">
        <v>23</v>
      </c>
    </row>
    <row r="195" spans="1:11" x14ac:dyDescent="0.35">
      <c r="A195" t="s">
        <v>247</v>
      </c>
      <c r="B195" s="1" t="d">
        <v>2025-02-20</v>
      </c>
      <c r="C195" t="s">
        <v>53</v>
      </c>
      <c r="D195" t="s">
        <v>36</v>
      </c>
      <c r="E195">
        <v>40</v>
      </c>
      <c r="F195">
        <v>4</v>
      </c>
      <c r="G195">
        <v>160</v>
      </c>
      <c r="H195" t="s">
        <v>25</v>
      </c>
      <c r="I195" t="s">
        <v>22</v>
      </c>
      <c r="J195" t="s">
        <v>16</v>
      </c>
      <c r="K195" t="s">
        <v>17</v>
      </c>
    </row>
    <row r="196" spans="1:11" x14ac:dyDescent="0.35">
      <c r="A196" t="s">
        <v>248</v>
      </c>
      <c r="B196" s="1" t="d">
        <v>2025-03-10</v>
      </c>
      <c r="C196" t="s">
        <v>42</v>
      </c>
      <c r="D196" t="s">
        <v>20</v>
      </c>
      <c r="E196">
        <v>500</v>
      </c>
      <c r="F196">
        <v>3</v>
      </c>
      <c r="G196">
        <v>1500</v>
      </c>
      <c r="H196" t="s">
        <v>29</v>
      </c>
      <c r="I196" t="s">
        <v>26</v>
      </c>
      <c r="J196" t="s">
        <v>58</v>
      </c>
      <c r="K196" t="s">
        <v>17</v>
      </c>
    </row>
    <row r="197" spans="1:11" x14ac:dyDescent="0.35">
      <c r="A197" t="s">
        <v>249</v>
      </c>
      <c r="B197" s="1" t="d">
        <v>2025-03-04</v>
      </c>
      <c r="C197" t="s">
        <v>19</v>
      </c>
      <c r="D197" t="s">
        <v>20</v>
      </c>
      <c r="E197">
        <v>100</v>
      </c>
      <c r="F197">
        <v>5</v>
      </c>
      <c r="G197">
        <v>500</v>
      </c>
      <c r="H197" t="s">
        <v>57</v>
      </c>
      <c r="I197" t="s">
        <v>63</v>
      </c>
      <c r="J197" t="s">
        <v>16</v>
      </c>
      <c r="K197" t="s">
        <v>23</v>
      </c>
    </row>
    <row r="198" spans="1:11" x14ac:dyDescent="0.35">
      <c r="A198" t="s">
        <v>250</v>
      </c>
      <c r="B198" s="1" t="d">
        <v>2025-03-12</v>
      </c>
      <c r="C198" t="s">
        <v>12</v>
      </c>
      <c r="D198" t="s">
        <v>13</v>
      </c>
      <c r="E198">
        <v>60</v>
      </c>
      <c r="F198">
        <v>2</v>
      </c>
      <c r="G198">
        <v>120</v>
      </c>
      <c r="H198" t="s">
        <v>54</v>
      </c>
      <c r="I198" t="s">
        <v>26</v>
      </c>
      <c r="J198" t="s">
        <v>58</v>
      </c>
      <c r="K198" t="s">
        <v>40</v>
      </c>
    </row>
    <row r="199" spans="1:11" x14ac:dyDescent="0.35">
      <c r="A199" t="s">
        <v>251</v>
      </c>
      <c r="B199" s="1" t="d">
        <v>2025-02-20</v>
      </c>
      <c r="C199" t="s">
        <v>56</v>
      </c>
      <c r="D199" t="s">
        <v>20</v>
      </c>
      <c r="E199">
        <v>800</v>
      </c>
      <c r="F199">
        <v>4</v>
      </c>
      <c r="G199">
        <v>3200</v>
      </c>
      <c r="H199" t="s">
        <v>80</v>
      </c>
      <c r="I199" t="s">
        <v>63</v>
      </c>
      <c r="J199" t="s">
        <v>27</v>
      </c>
      <c r="K199" t="s">
        <v>23</v>
      </c>
    </row>
    <row r="200" spans="1:11" x14ac:dyDescent="0.35">
      <c r="A200" t="s">
        <v>252</v>
      </c>
      <c r="B200" s="1" t="d">
        <v>2025-02-22</v>
      </c>
      <c r="C200" t="s">
        <v>42</v>
      </c>
      <c r="D200" t="s">
        <v>20</v>
      </c>
      <c r="E200">
        <v>500</v>
      </c>
      <c r="F200">
        <v>3</v>
      </c>
      <c r="G200">
        <v>1500</v>
      </c>
      <c r="H200" t="s">
        <v>72</v>
      </c>
      <c r="I200" t="s">
        <v>30</v>
      </c>
      <c r="J200" t="s">
        <v>31</v>
      </c>
      <c r="K200" t="s">
        <v>40</v>
      </c>
    </row>
    <row r="201" spans="1:11" x14ac:dyDescent="0.35">
      <c r="A201" t="s">
        <v>253</v>
      </c>
      <c r="B201" s="1" t="d">
        <v>2025-02-10</v>
      </c>
      <c r="C201" t="s">
        <v>49</v>
      </c>
      <c r="D201" t="s">
        <v>50</v>
      </c>
      <c r="E201">
        <v>15</v>
      </c>
      <c r="F201">
        <v>2</v>
      </c>
      <c r="G201">
        <v>30</v>
      </c>
      <c r="H201" t="s">
        <v>72</v>
      </c>
      <c r="I201" t="s">
        <v>68</v>
      </c>
      <c r="J201" t="s">
        <v>16</v>
      </c>
      <c r="K201" t="s">
        <v>40</v>
      </c>
    </row>
    <row r="202" spans="1:11" x14ac:dyDescent="0.35">
      <c r="A202" t="s">
        <v>254</v>
      </c>
      <c r="B202" s="1" t="d">
        <v>2025-02-03</v>
      </c>
      <c r="C202" t="s">
        <v>49</v>
      </c>
      <c r="D202" t="s">
        <v>50</v>
      </c>
      <c r="E202">
        <v>15</v>
      </c>
      <c r="F202">
        <v>4</v>
      </c>
      <c r="G202">
        <v>60</v>
      </c>
      <c r="H202" t="s">
        <v>54</v>
      </c>
      <c r="I202" t="s">
        <v>22</v>
      </c>
      <c r="J202" t="s">
        <v>31</v>
      </c>
      <c r="K202" t="s">
        <v>40</v>
      </c>
    </row>
    <row r="203" spans="1:11" x14ac:dyDescent="0.35">
      <c r="A203" t="s">
        <v>255</v>
      </c>
      <c r="B203" s="1" t="d">
        <v>2025-02-21</v>
      </c>
      <c r="C203" t="s">
        <v>42</v>
      </c>
      <c r="D203" t="s">
        <v>20</v>
      </c>
      <c r="E203">
        <v>500</v>
      </c>
      <c r="F203">
        <v>2</v>
      </c>
      <c r="G203">
        <v>1000</v>
      </c>
      <c r="H203" t="s">
        <v>57</v>
      </c>
      <c r="I203" t="s">
        <v>44</v>
      </c>
      <c r="J203" t="s">
        <v>31</v>
      </c>
      <c r="K203" t="s">
        <v>17</v>
      </c>
    </row>
    <row r="204" spans="1:11" x14ac:dyDescent="0.35">
      <c r="A204" t="s">
        <v>256</v>
      </c>
      <c r="B204" s="1" t="d">
        <v>2025-02-21</v>
      </c>
      <c r="C204" t="s">
        <v>65</v>
      </c>
      <c r="D204" t="s">
        <v>61</v>
      </c>
      <c r="E204">
        <v>1200</v>
      </c>
      <c r="F204">
        <v>3</v>
      </c>
      <c r="G204">
        <v>3600</v>
      </c>
      <c r="H204" t="s">
        <v>25</v>
      </c>
      <c r="I204" t="s">
        <v>30</v>
      </c>
      <c r="J204" t="s">
        <v>16</v>
      </c>
      <c r="K204" t="s">
        <v>40</v>
      </c>
    </row>
    <row r="205" spans="1:11" x14ac:dyDescent="0.35">
      <c r="A205" t="s">
        <v>257</v>
      </c>
      <c r="B205" s="1" t="d">
        <v>2025-03-08</v>
      </c>
      <c r="C205" t="s">
        <v>12</v>
      </c>
      <c r="D205" t="s">
        <v>13</v>
      </c>
      <c r="E205">
        <v>60</v>
      </c>
      <c r="F205">
        <v>5</v>
      </c>
      <c r="G205">
        <v>300</v>
      </c>
      <c r="H205" t="s">
        <v>80</v>
      </c>
      <c r="I205" t="s">
        <v>44</v>
      </c>
      <c r="J205" t="s">
        <v>58</v>
      </c>
      <c r="K205" t="s">
        <v>23</v>
      </c>
    </row>
    <row r="206" spans="1:11" x14ac:dyDescent="0.35">
      <c r="A206" t="s">
        <v>258</v>
      </c>
      <c r="B206" s="1" t="d">
        <v>2025-02-27</v>
      </c>
      <c r="C206" t="s">
        <v>19</v>
      </c>
      <c r="D206" t="s">
        <v>20</v>
      </c>
      <c r="E206">
        <v>100</v>
      </c>
      <c r="F206">
        <v>2</v>
      </c>
      <c r="G206">
        <v>200</v>
      </c>
      <c r="H206" t="s">
        <v>51</v>
      </c>
      <c r="I206" t="s">
        <v>38</v>
      </c>
      <c r="J206" t="s">
        <v>39</v>
      </c>
      <c r="K206" t="s">
        <v>40</v>
      </c>
    </row>
    <row r="207" spans="1:11" x14ac:dyDescent="0.35">
      <c r="A207" t="s">
        <v>259</v>
      </c>
      <c r="B207" s="1" t="d">
        <v>2025-02-12</v>
      </c>
      <c r="C207" t="s">
        <v>60</v>
      </c>
      <c r="D207" t="s">
        <v>61</v>
      </c>
      <c r="E207">
        <v>600</v>
      </c>
      <c r="F207">
        <v>5</v>
      </c>
      <c r="G207">
        <v>3000</v>
      </c>
      <c r="H207" t="s">
        <v>14</v>
      </c>
      <c r="I207" t="s">
        <v>44</v>
      </c>
      <c r="J207" t="s">
        <v>27</v>
      </c>
      <c r="K207" t="s">
        <v>23</v>
      </c>
    </row>
    <row r="208" spans="1:11" x14ac:dyDescent="0.35">
      <c r="A208" t="s">
        <v>260</v>
      </c>
      <c r="B208" s="1" t="d">
        <v>2025-03-21</v>
      </c>
      <c r="C208" t="s">
        <v>60</v>
      </c>
      <c r="D208" t="s">
        <v>61</v>
      </c>
      <c r="E208">
        <v>600</v>
      </c>
      <c r="F208">
        <v>1</v>
      </c>
      <c r="G208">
        <v>600</v>
      </c>
      <c r="H208" t="s">
        <v>25</v>
      </c>
      <c r="I208" t="s">
        <v>44</v>
      </c>
      <c r="J208" t="s">
        <v>31</v>
      </c>
      <c r="K208" t="s">
        <v>40</v>
      </c>
    </row>
    <row r="209" spans="1:11" x14ac:dyDescent="0.35">
      <c r="A209" t="s">
        <v>261</v>
      </c>
      <c r="B209" s="1" t="d">
        <v>2025-02-02</v>
      </c>
      <c r="C209" t="s">
        <v>65</v>
      </c>
      <c r="D209" t="s">
        <v>61</v>
      </c>
      <c r="E209">
        <v>1200</v>
      </c>
      <c r="F209">
        <v>3</v>
      </c>
      <c r="G209">
        <v>3600</v>
      </c>
      <c r="H209" t="s">
        <v>25</v>
      </c>
      <c r="I209" t="s">
        <v>44</v>
      </c>
      <c r="J209" t="s">
        <v>39</v>
      </c>
      <c r="K209" t="s">
        <v>40</v>
      </c>
    </row>
    <row r="210" spans="1:11" x14ac:dyDescent="0.35">
      <c r="A210" t="s">
        <v>262</v>
      </c>
      <c r="B210" s="1" t="d">
        <v>2025-03-29</v>
      </c>
      <c r="C210" t="s">
        <v>53</v>
      </c>
      <c r="D210" t="s">
        <v>36</v>
      </c>
      <c r="E210">
        <v>40</v>
      </c>
      <c r="F210">
        <v>5</v>
      </c>
      <c r="G210">
        <v>200</v>
      </c>
      <c r="H210" t="s">
        <v>57</v>
      </c>
      <c r="I210" t="s">
        <v>30</v>
      </c>
      <c r="J210" t="s">
        <v>39</v>
      </c>
      <c r="K210" t="s">
        <v>40</v>
      </c>
    </row>
    <row r="211" spans="1:11" x14ac:dyDescent="0.35">
      <c r="A211" t="s">
        <v>263</v>
      </c>
      <c r="B211" s="1" t="d">
        <v>2025-03-23</v>
      </c>
      <c r="C211" t="s">
        <v>56</v>
      </c>
      <c r="D211" t="s">
        <v>20</v>
      </c>
      <c r="E211">
        <v>800</v>
      </c>
      <c r="F211">
        <v>3</v>
      </c>
      <c r="G211">
        <v>2400</v>
      </c>
      <c r="H211" t="s">
        <v>80</v>
      </c>
      <c r="I211" t="s">
        <v>15</v>
      </c>
      <c r="J211" t="s">
        <v>39</v>
      </c>
      <c r="K211" t="s">
        <v>40</v>
      </c>
    </row>
    <row r="212" spans="1:11" x14ac:dyDescent="0.35">
      <c r="A212" t="s">
        <v>264</v>
      </c>
      <c r="B212" s="1" t="d">
        <v>2025-03-13</v>
      </c>
      <c r="C212" t="s">
        <v>42</v>
      </c>
      <c r="D212" t="s">
        <v>20</v>
      </c>
      <c r="E212">
        <v>500</v>
      </c>
      <c r="F212">
        <v>1</v>
      </c>
      <c r="G212">
        <v>500</v>
      </c>
      <c r="H212" t="s">
        <v>51</v>
      </c>
      <c r="I212" t="s">
        <v>44</v>
      </c>
      <c r="J212" t="s">
        <v>58</v>
      </c>
      <c r="K212" t="s">
        <v>23</v>
      </c>
    </row>
    <row r="213" spans="1:11" x14ac:dyDescent="0.35">
      <c r="A213" t="s">
        <v>265</v>
      </c>
      <c r="B213" s="1" t="d">
        <v>2025-03-09</v>
      </c>
      <c r="C213" t="s">
        <v>35</v>
      </c>
      <c r="D213" t="s">
        <v>36</v>
      </c>
      <c r="E213">
        <v>20</v>
      </c>
      <c r="F213">
        <v>4</v>
      </c>
      <c r="G213">
        <v>80</v>
      </c>
      <c r="H213" t="s">
        <v>14</v>
      </c>
      <c r="I213" t="s">
        <v>38</v>
      </c>
      <c r="J213" t="s">
        <v>16</v>
      </c>
      <c r="K213" t="s">
        <v>40</v>
      </c>
    </row>
    <row r="214" spans="1:11" x14ac:dyDescent="0.35">
      <c r="A214" t="s">
        <v>266</v>
      </c>
      <c r="B214" s="1" t="d">
        <v>2025-02-06</v>
      </c>
      <c r="C214" t="s">
        <v>56</v>
      </c>
      <c r="D214" t="s">
        <v>20</v>
      </c>
      <c r="E214">
        <v>800</v>
      </c>
      <c r="F214">
        <v>1</v>
      </c>
      <c r="G214">
        <v>800</v>
      </c>
      <c r="H214" t="s">
        <v>80</v>
      </c>
      <c r="I214" t="s">
        <v>68</v>
      </c>
      <c r="J214" t="s">
        <v>27</v>
      </c>
      <c r="K214" t="s">
        <v>17</v>
      </c>
    </row>
    <row r="215" spans="1:11" x14ac:dyDescent="0.35">
      <c r="A215" t="s">
        <v>267</v>
      </c>
      <c r="B215" s="1" t="d">
        <v>2025-02-18</v>
      </c>
      <c r="C215" t="s">
        <v>33</v>
      </c>
      <c r="D215" t="s">
        <v>20</v>
      </c>
      <c r="E215">
        <v>150</v>
      </c>
      <c r="F215">
        <v>5</v>
      </c>
      <c r="G215">
        <v>750</v>
      </c>
      <c r="H215" t="s">
        <v>21</v>
      </c>
      <c r="I215" t="s">
        <v>38</v>
      </c>
      <c r="J215" t="s">
        <v>16</v>
      </c>
      <c r="K215" t="s">
        <v>40</v>
      </c>
    </row>
    <row r="216" spans="1:11" x14ac:dyDescent="0.35">
      <c r="A216" t="s">
        <v>268</v>
      </c>
      <c r="B216" s="1" t="d">
        <v>2025-03-07</v>
      </c>
      <c r="C216" t="s">
        <v>12</v>
      </c>
      <c r="D216" t="s">
        <v>13</v>
      </c>
      <c r="E216">
        <v>60</v>
      </c>
      <c r="F216">
        <v>1</v>
      </c>
      <c r="G216">
        <v>60</v>
      </c>
      <c r="H216" t="s">
        <v>14</v>
      </c>
      <c r="I216" t="s">
        <v>38</v>
      </c>
      <c r="J216" t="s">
        <v>39</v>
      </c>
      <c r="K216" t="s">
        <v>40</v>
      </c>
    </row>
    <row r="217" spans="1:11" x14ac:dyDescent="0.35">
      <c r="A217" t="s">
        <v>269</v>
      </c>
      <c r="B217" s="1" t="d">
        <v>2025-03-26</v>
      </c>
      <c r="C217" t="s">
        <v>53</v>
      </c>
      <c r="D217" t="s">
        <v>36</v>
      </c>
      <c r="E217">
        <v>40</v>
      </c>
      <c r="F217">
        <v>2</v>
      </c>
      <c r="G217">
        <v>80</v>
      </c>
      <c r="H217" t="s">
        <v>72</v>
      </c>
      <c r="I217" t="s">
        <v>81</v>
      </c>
      <c r="J217" t="s">
        <v>31</v>
      </c>
      <c r="K217" t="s">
        <v>40</v>
      </c>
    </row>
    <row r="218" spans="1:11" x14ac:dyDescent="0.35">
      <c r="A218" t="s">
        <v>270</v>
      </c>
      <c r="B218" s="1" t="d">
        <v>2025-03-19</v>
      </c>
      <c r="C218" t="s">
        <v>12</v>
      </c>
      <c r="D218" t="s">
        <v>13</v>
      </c>
      <c r="E218">
        <v>60</v>
      </c>
      <c r="F218">
        <v>2</v>
      </c>
      <c r="G218">
        <v>120</v>
      </c>
      <c r="H218" t="s">
        <v>14</v>
      </c>
      <c r="I218" t="s">
        <v>46</v>
      </c>
      <c r="J218" t="s">
        <v>58</v>
      </c>
      <c r="K218" t="s">
        <v>23</v>
      </c>
    </row>
    <row r="219" spans="1:11" x14ac:dyDescent="0.35">
      <c r="A219" t="s">
        <v>271</v>
      </c>
      <c r="B219" s="1" t="d">
        <v>2025-02-15</v>
      </c>
      <c r="C219" t="s">
        <v>19</v>
      </c>
      <c r="D219" t="s">
        <v>20</v>
      </c>
      <c r="E219">
        <v>100</v>
      </c>
      <c r="F219">
        <v>4</v>
      </c>
      <c r="G219">
        <v>400</v>
      </c>
      <c r="H219" t="s">
        <v>57</v>
      </c>
      <c r="I219" t="s">
        <v>15</v>
      </c>
      <c r="J219" t="s">
        <v>58</v>
      </c>
      <c r="K219" t="s">
        <v>17</v>
      </c>
    </row>
    <row r="220" spans="1:11" x14ac:dyDescent="0.35">
      <c r="A220" t="s">
        <v>272</v>
      </c>
      <c r="B220" s="1" t="d">
        <v>2025-02-17</v>
      </c>
      <c r="C220" t="s">
        <v>19</v>
      </c>
      <c r="D220" t="s">
        <v>20</v>
      </c>
      <c r="E220">
        <v>100</v>
      </c>
      <c r="F220">
        <v>3</v>
      </c>
      <c r="G220">
        <v>300</v>
      </c>
      <c r="H220" t="s">
        <v>51</v>
      </c>
      <c r="I220" t="s">
        <v>38</v>
      </c>
      <c r="J220" t="s">
        <v>39</v>
      </c>
      <c r="K220" t="s">
        <v>17</v>
      </c>
    </row>
    <row r="221" spans="1:11" x14ac:dyDescent="0.35">
      <c r="A221" t="s">
        <v>273</v>
      </c>
      <c r="B221" s="1" t="d">
        <v>2025-02-10</v>
      </c>
      <c r="C221" t="s">
        <v>33</v>
      </c>
      <c r="D221" t="s">
        <v>20</v>
      </c>
      <c r="E221">
        <v>150</v>
      </c>
      <c r="F221">
        <v>3</v>
      </c>
      <c r="G221">
        <v>450</v>
      </c>
      <c r="H221" t="s">
        <v>54</v>
      </c>
      <c r="I221" t="s">
        <v>26</v>
      </c>
      <c r="J221" t="s">
        <v>16</v>
      </c>
      <c r="K221" t="s">
        <v>40</v>
      </c>
    </row>
    <row r="222" spans="1:11" x14ac:dyDescent="0.35">
      <c r="A222" t="s">
        <v>274</v>
      </c>
      <c r="B222" s="1" t="d">
        <v>2025-02-28</v>
      </c>
      <c r="C222" t="s">
        <v>60</v>
      </c>
      <c r="D222" t="s">
        <v>61</v>
      </c>
      <c r="E222">
        <v>600</v>
      </c>
      <c r="F222">
        <v>2</v>
      </c>
      <c r="G222">
        <v>1200</v>
      </c>
      <c r="H222" t="s">
        <v>21</v>
      </c>
      <c r="I222" t="s">
        <v>81</v>
      </c>
      <c r="J222" t="s">
        <v>58</v>
      </c>
      <c r="K222" t="s">
        <v>17</v>
      </c>
    </row>
    <row r="223" spans="1:11" x14ac:dyDescent="0.35">
      <c r="A223" t="s">
        <v>275</v>
      </c>
      <c r="B223" s="1" t="d">
        <v>2025-02-16</v>
      </c>
      <c r="C223" t="s">
        <v>60</v>
      </c>
      <c r="D223" t="s">
        <v>61</v>
      </c>
      <c r="E223">
        <v>600</v>
      </c>
      <c r="F223">
        <v>2</v>
      </c>
      <c r="G223">
        <v>1200</v>
      </c>
      <c r="H223" t="s">
        <v>72</v>
      </c>
      <c r="I223" t="s">
        <v>63</v>
      </c>
      <c r="J223" t="s">
        <v>39</v>
      </c>
      <c r="K223" t="s">
        <v>17</v>
      </c>
    </row>
    <row r="224" spans="1:11" x14ac:dyDescent="0.35">
      <c r="A224" t="s">
        <v>276</v>
      </c>
      <c r="B224" s="1" t="d">
        <v>2025-03-24</v>
      </c>
      <c r="C224" t="s">
        <v>53</v>
      </c>
      <c r="D224" t="s">
        <v>36</v>
      </c>
      <c r="E224">
        <v>40</v>
      </c>
      <c r="F224">
        <v>2</v>
      </c>
      <c r="G224">
        <v>80</v>
      </c>
      <c r="H224" t="s">
        <v>51</v>
      </c>
      <c r="I224" t="s">
        <v>26</v>
      </c>
      <c r="J224" t="s">
        <v>27</v>
      </c>
      <c r="K224" t="s">
        <v>17</v>
      </c>
    </row>
    <row r="225" spans="1:11" x14ac:dyDescent="0.35">
      <c r="A225" t="s">
        <v>277</v>
      </c>
      <c r="B225" s="1" t="d">
        <v>2025-03-18</v>
      </c>
      <c r="C225" t="s">
        <v>65</v>
      </c>
      <c r="D225" t="s">
        <v>61</v>
      </c>
      <c r="E225">
        <v>1200</v>
      </c>
      <c r="F225">
        <v>1</v>
      </c>
      <c r="G225">
        <v>1200</v>
      </c>
      <c r="H225" t="s">
        <v>80</v>
      </c>
      <c r="I225" t="s">
        <v>44</v>
      </c>
      <c r="J225" t="s">
        <v>39</v>
      </c>
      <c r="K225" t="s">
        <v>40</v>
      </c>
    </row>
    <row r="226" spans="1:11" x14ac:dyDescent="0.35">
      <c r="A226" t="s">
        <v>278</v>
      </c>
      <c r="B226" s="1" t="d">
        <v>2025-03-11</v>
      </c>
      <c r="C226" t="s">
        <v>53</v>
      </c>
      <c r="D226" t="s">
        <v>36</v>
      </c>
      <c r="E226">
        <v>40</v>
      </c>
      <c r="F226">
        <v>1</v>
      </c>
      <c r="G226">
        <v>40</v>
      </c>
      <c r="H226" t="s">
        <v>43</v>
      </c>
      <c r="I226" t="s">
        <v>15</v>
      </c>
      <c r="J226" t="s">
        <v>58</v>
      </c>
      <c r="K226" t="s">
        <v>17</v>
      </c>
    </row>
    <row r="227" spans="1:11" x14ac:dyDescent="0.35">
      <c r="A227" t="s">
        <v>279</v>
      </c>
      <c r="B227" s="1" t="d">
        <v>2025-03-05</v>
      </c>
      <c r="C227" t="s">
        <v>12</v>
      </c>
      <c r="D227" t="s">
        <v>13</v>
      </c>
      <c r="E227">
        <v>60</v>
      </c>
      <c r="F227">
        <v>4</v>
      </c>
      <c r="G227">
        <v>240</v>
      </c>
      <c r="H227" t="s">
        <v>72</v>
      </c>
      <c r="I227" t="s">
        <v>81</v>
      </c>
      <c r="J227" t="s">
        <v>27</v>
      </c>
      <c r="K227" t="s">
        <v>40</v>
      </c>
    </row>
    <row r="228" spans="1:11" x14ac:dyDescent="0.35">
      <c r="A228" t="s">
        <v>280</v>
      </c>
      <c r="B228" s="1" t="d">
        <v>2025-04-02</v>
      </c>
      <c r="C228" t="s">
        <v>19</v>
      </c>
      <c r="D228" t="s">
        <v>20</v>
      </c>
      <c r="E228">
        <v>100</v>
      </c>
      <c r="F228">
        <v>5</v>
      </c>
      <c r="G228">
        <v>500</v>
      </c>
      <c r="H228" t="s">
        <v>14</v>
      </c>
      <c r="I228" t="s">
        <v>44</v>
      </c>
      <c r="J228" t="s">
        <v>27</v>
      </c>
      <c r="K228" t="s">
        <v>17</v>
      </c>
    </row>
    <row r="229" spans="1:11" x14ac:dyDescent="0.35">
      <c r="A229" t="s">
        <v>281</v>
      </c>
      <c r="B229" s="1" t="d">
        <v>2025-02-12</v>
      </c>
      <c r="C229" t="s">
        <v>12</v>
      </c>
      <c r="D229" t="s">
        <v>13</v>
      </c>
      <c r="E229">
        <v>60</v>
      </c>
      <c r="F229">
        <v>1</v>
      </c>
      <c r="G229">
        <v>60</v>
      </c>
      <c r="H229" t="s">
        <v>51</v>
      </c>
      <c r="I229" t="s">
        <v>22</v>
      </c>
      <c r="J229" t="s">
        <v>31</v>
      </c>
      <c r="K229" t="s">
        <v>23</v>
      </c>
    </row>
    <row r="230" spans="1:11" x14ac:dyDescent="0.35">
      <c r="A230" t="s">
        <v>282</v>
      </c>
      <c r="B230" s="1" t="d">
        <v>2025-03-21</v>
      </c>
      <c r="C230" t="s">
        <v>12</v>
      </c>
      <c r="D230" t="s">
        <v>13</v>
      </c>
      <c r="E230">
        <v>60</v>
      </c>
      <c r="F230">
        <v>3</v>
      </c>
      <c r="G230">
        <v>180</v>
      </c>
      <c r="H230" t="s">
        <v>14</v>
      </c>
      <c r="I230" t="s">
        <v>22</v>
      </c>
      <c r="J230" t="s">
        <v>31</v>
      </c>
      <c r="K230" t="s">
        <v>23</v>
      </c>
    </row>
    <row r="231" spans="1:11" x14ac:dyDescent="0.35">
      <c r="A231" t="s">
        <v>283</v>
      </c>
      <c r="B231" s="1" t="d">
        <v>2025-03-31</v>
      </c>
      <c r="C231" t="s">
        <v>19</v>
      </c>
      <c r="D231" t="s">
        <v>20</v>
      </c>
      <c r="E231">
        <v>100</v>
      </c>
      <c r="F231">
        <v>4</v>
      </c>
      <c r="G231">
        <v>400</v>
      </c>
      <c r="H231" t="s">
        <v>80</v>
      </c>
      <c r="I231" t="s">
        <v>22</v>
      </c>
      <c r="J231" t="s">
        <v>27</v>
      </c>
      <c r="K231" t="s">
        <v>23</v>
      </c>
    </row>
    <row r="232" spans="1:11" x14ac:dyDescent="0.35">
      <c r="A232" t="s">
        <v>284</v>
      </c>
      <c r="B232" s="1" t="d">
        <v>2025-02-16</v>
      </c>
      <c r="C232" t="s">
        <v>56</v>
      </c>
      <c r="D232" t="s">
        <v>20</v>
      </c>
      <c r="E232">
        <v>800</v>
      </c>
      <c r="F232">
        <v>5</v>
      </c>
      <c r="G232">
        <v>4000</v>
      </c>
      <c r="H232" t="s">
        <v>80</v>
      </c>
      <c r="I232" t="s">
        <v>46</v>
      </c>
      <c r="J232" t="s">
        <v>31</v>
      </c>
      <c r="K232" t="s">
        <v>17</v>
      </c>
    </row>
    <row r="233" spans="1:11" x14ac:dyDescent="0.35">
      <c r="A233" t="s">
        <v>285</v>
      </c>
      <c r="B233" s="1" t="d">
        <v>2025-03-14</v>
      </c>
      <c r="C233" t="s">
        <v>65</v>
      </c>
      <c r="D233" t="s">
        <v>61</v>
      </c>
      <c r="E233">
        <v>1200</v>
      </c>
      <c r="F233">
        <v>3</v>
      </c>
      <c r="G233">
        <v>3600</v>
      </c>
      <c r="H233" t="s">
        <v>14</v>
      </c>
      <c r="I233" t="s">
        <v>68</v>
      </c>
      <c r="J233" t="s">
        <v>31</v>
      </c>
      <c r="K233" t="s">
        <v>40</v>
      </c>
    </row>
    <row r="234" spans="1:11" x14ac:dyDescent="0.35">
      <c r="A234" t="s">
        <v>286</v>
      </c>
      <c r="B234" s="1" t="d">
        <v>2025-02-20</v>
      </c>
      <c r="C234" t="s">
        <v>12</v>
      </c>
      <c r="D234" t="s">
        <v>13</v>
      </c>
      <c r="E234">
        <v>60</v>
      </c>
      <c r="F234">
        <v>1</v>
      </c>
      <c r="G234">
        <v>60</v>
      </c>
      <c r="H234" t="s">
        <v>51</v>
      </c>
      <c r="I234" t="s">
        <v>46</v>
      </c>
      <c r="J234" t="s">
        <v>39</v>
      </c>
      <c r="K234" t="s">
        <v>17</v>
      </c>
    </row>
    <row r="235" spans="1:11" x14ac:dyDescent="0.35">
      <c r="A235" t="s">
        <v>287</v>
      </c>
      <c r="B235" s="1" t="d">
        <v>2025-03-08</v>
      </c>
      <c r="C235" t="s">
        <v>49</v>
      </c>
      <c r="D235" t="s">
        <v>50</v>
      </c>
      <c r="E235">
        <v>15</v>
      </c>
      <c r="F235">
        <v>1</v>
      </c>
      <c r="G235">
        <v>15</v>
      </c>
      <c r="H235" t="s">
        <v>80</v>
      </c>
      <c r="I235" t="s">
        <v>44</v>
      </c>
      <c r="J235" t="s">
        <v>27</v>
      </c>
      <c r="K235" t="s">
        <v>17</v>
      </c>
    </row>
    <row r="236" spans="1:11" x14ac:dyDescent="0.35">
      <c r="A236" t="s">
        <v>288</v>
      </c>
      <c r="B236" s="1" t="d">
        <v>2025-03-23</v>
      </c>
      <c r="C236" t="s">
        <v>65</v>
      </c>
      <c r="D236" t="s">
        <v>61</v>
      </c>
      <c r="E236">
        <v>1200</v>
      </c>
      <c r="F236">
        <v>1</v>
      </c>
      <c r="G236">
        <v>1200</v>
      </c>
      <c r="H236" t="s">
        <v>57</v>
      </c>
      <c r="I236" t="s">
        <v>30</v>
      </c>
      <c r="J236" t="s">
        <v>39</v>
      </c>
      <c r="K236" t="s">
        <v>40</v>
      </c>
    </row>
    <row r="237" spans="1:11" x14ac:dyDescent="0.35">
      <c r="A237" t="s">
        <v>289</v>
      </c>
      <c r="B237" s="1" t="d">
        <v>2025-03-05</v>
      </c>
      <c r="C237" t="s">
        <v>42</v>
      </c>
      <c r="D237" t="s">
        <v>20</v>
      </c>
      <c r="E237">
        <v>500</v>
      </c>
      <c r="F237">
        <v>5</v>
      </c>
      <c r="G237">
        <v>2500</v>
      </c>
      <c r="H237" t="s">
        <v>25</v>
      </c>
      <c r="I237" t="s">
        <v>46</v>
      </c>
      <c r="J237" t="s">
        <v>39</v>
      </c>
      <c r="K237" t="s">
        <v>40</v>
      </c>
    </row>
    <row r="238" spans="1:11" x14ac:dyDescent="0.35">
      <c r="A238" t="s">
        <v>290</v>
      </c>
      <c r="B238" s="1" t="d">
        <v>2025-02-11</v>
      </c>
      <c r="C238" t="s">
        <v>19</v>
      </c>
      <c r="D238" t="s">
        <v>20</v>
      </c>
      <c r="E238">
        <v>100</v>
      </c>
      <c r="F238">
        <v>3</v>
      </c>
      <c r="G238">
        <v>300</v>
      </c>
      <c r="H238" t="s">
        <v>54</v>
      </c>
      <c r="I238" t="s">
        <v>38</v>
      </c>
      <c r="J238" t="s">
        <v>16</v>
      </c>
      <c r="K238" t="s">
        <v>17</v>
      </c>
    </row>
    <row r="239" spans="1:11" x14ac:dyDescent="0.35">
      <c r="A239" t="s">
        <v>291</v>
      </c>
      <c r="B239" s="1" t="d">
        <v>2025-03-16</v>
      </c>
      <c r="C239" t="s">
        <v>19</v>
      </c>
      <c r="D239" t="s">
        <v>20</v>
      </c>
      <c r="E239">
        <v>100</v>
      </c>
      <c r="F239">
        <v>1</v>
      </c>
      <c r="G239">
        <v>100</v>
      </c>
      <c r="H239" t="s">
        <v>29</v>
      </c>
      <c r="I239" t="s">
        <v>26</v>
      </c>
      <c r="J239" t="s">
        <v>39</v>
      </c>
      <c r="K239" t="s">
        <v>40</v>
      </c>
    </row>
    <row r="240" spans="1:11" x14ac:dyDescent="0.35">
      <c r="A240" t="s">
        <v>292</v>
      </c>
      <c r="B240" s="1" t="d">
        <v>2025-03-22</v>
      </c>
      <c r="C240" t="s">
        <v>33</v>
      </c>
      <c r="D240" t="s">
        <v>20</v>
      </c>
      <c r="E240">
        <v>150</v>
      </c>
      <c r="F240">
        <v>5</v>
      </c>
      <c r="G240">
        <v>750</v>
      </c>
      <c r="H240" t="s">
        <v>57</v>
      </c>
      <c r="I240" t="s">
        <v>38</v>
      </c>
      <c r="J240" t="s">
        <v>27</v>
      </c>
      <c r="K240" t="s">
        <v>40</v>
      </c>
    </row>
    <row r="241" spans="1:11" x14ac:dyDescent="0.35">
      <c r="A241" t="s">
        <v>293</v>
      </c>
      <c r="B241" s="1" t="d">
        <v>2025-02-09</v>
      </c>
      <c r="C241" t="s">
        <v>33</v>
      </c>
      <c r="D241" t="s">
        <v>20</v>
      </c>
      <c r="E241">
        <v>150</v>
      </c>
      <c r="F241">
        <v>1</v>
      </c>
      <c r="G241">
        <v>150</v>
      </c>
      <c r="H241" t="s">
        <v>25</v>
      </c>
      <c r="I241" t="s">
        <v>26</v>
      </c>
      <c r="J241" t="s">
        <v>58</v>
      </c>
      <c r="K241" t="s">
        <v>23</v>
      </c>
    </row>
    <row r="242" spans="1:11" x14ac:dyDescent="0.35">
      <c r="A242" t="s">
        <v>294</v>
      </c>
      <c r="B242" s="1" t="d">
        <v>2025-03-30</v>
      </c>
      <c r="C242" t="s">
        <v>42</v>
      </c>
      <c r="D242" t="s">
        <v>20</v>
      </c>
      <c r="E242">
        <v>500</v>
      </c>
      <c r="F242">
        <v>4</v>
      </c>
      <c r="G242">
        <v>2000</v>
      </c>
      <c r="H242" t="s">
        <v>29</v>
      </c>
      <c r="I242" t="s">
        <v>15</v>
      </c>
      <c r="J242" t="s">
        <v>31</v>
      </c>
      <c r="K242" t="s">
        <v>23</v>
      </c>
    </row>
    <row r="243" spans="1:11" x14ac:dyDescent="0.35">
      <c r="A243" t="s">
        <v>295</v>
      </c>
      <c r="B243" s="1" t="d">
        <v>2025-03-08</v>
      </c>
      <c r="C243" t="s">
        <v>42</v>
      </c>
      <c r="D243" t="s">
        <v>20</v>
      </c>
      <c r="E243">
        <v>500</v>
      </c>
      <c r="F243">
        <v>4</v>
      </c>
      <c r="G243">
        <v>2000</v>
      </c>
      <c r="H243" t="s">
        <v>72</v>
      </c>
      <c r="I243" t="s">
        <v>46</v>
      </c>
      <c r="J243" t="s">
        <v>58</v>
      </c>
      <c r="K243" t="s">
        <v>23</v>
      </c>
    </row>
    <row r="244" spans="1:11" x14ac:dyDescent="0.35">
      <c r="A244" t="s">
        <v>296</v>
      </c>
      <c r="B244" s="1" t="d">
        <v>2025-03-05</v>
      </c>
      <c r="C244" t="s">
        <v>12</v>
      </c>
      <c r="D244" t="s">
        <v>13</v>
      </c>
      <c r="E244">
        <v>60</v>
      </c>
      <c r="F244">
        <v>2</v>
      </c>
      <c r="G244">
        <v>120</v>
      </c>
      <c r="H244" t="s">
        <v>72</v>
      </c>
      <c r="I244" t="s">
        <v>38</v>
      </c>
      <c r="J244" t="s">
        <v>27</v>
      </c>
      <c r="K244" t="s">
        <v>40</v>
      </c>
    </row>
    <row r="245" spans="1:11" x14ac:dyDescent="0.35">
      <c r="A245" t="s">
        <v>297</v>
      </c>
      <c r="B245" s="1" t="d">
        <v>2025-02-06</v>
      </c>
      <c r="C245" t="s">
        <v>42</v>
      </c>
      <c r="D245" t="s">
        <v>20</v>
      </c>
      <c r="E245">
        <v>500</v>
      </c>
      <c r="F245">
        <v>4</v>
      </c>
      <c r="G245">
        <v>2000</v>
      </c>
      <c r="H245" t="s">
        <v>14</v>
      </c>
      <c r="I245" t="s">
        <v>38</v>
      </c>
      <c r="J245" t="s">
        <v>31</v>
      </c>
      <c r="K245" t="s">
        <v>40</v>
      </c>
    </row>
    <row r="246" spans="1:11" x14ac:dyDescent="0.35">
      <c r="A246" t="s">
        <v>298</v>
      </c>
      <c r="B246" s="1" t="d">
        <v>2025-02-04</v>
      </c>
      <c r="C246" t="s">
        <v>56</v>
      </c>
      <c r="D246" t="s">
        <v>20</v>
      </c>
      <c r="E246">
        <v>800</v>
      </c>
      <c r="F246">
        <v>1</v>
      </c>
      <c r="G246">
        <v>800</v>
      </c>
      <c r="H246" t="s">
        <v>54</v>
      </c>
      <c r="I246" t="s">
        <v>68</v>
      </c>
      <c r="J246" t="s">
        <v>31</v>
      </c>
      <c r="K246" t="s">
        <v>17</v>
      </c>
    </row>
    <row r="247" spans="1:11" x14ac:dyDescent="0.35">
      <c r="A247" t="s">
        <v>299</v>
      </c>
      <c r="B247" s="1" t="d">
        <v>2025-03-17</v>
      </c>
      <c r="C247" t="s">
        <v>35</v>
      </c>
      <c r="D247" t="s">
        <v>36</v>
      </c>
      <c r="E247">
        <v>20</v>
      </c>
      <c r="F247">
        <v>2</v>
      </c>
      <c r="G247">
        <v>40</v>
      </c>
      <c r="H247" t="s">
        <v>57</v>
      </c>
      <c r="I247" t="s">
        <v>44</v>
      </c>
      <c r="J247" t="s">
        <v>16</v>
      </c>
      <c r="K247" t="s">
        <v>17</v>
      </c>
    </row>
    <row r="248" spans="1:11" x14ac:dyDescent="0.35">
      <c r="A248" t="s">
        <v>300</v>
      </c>
      <c r="B248" s="1" t="d">
        <v>2025-03-30</v>
      </c>
      <c r="C248" t="s">
        <v>53</v>
      </c>
      <c r="D248" t="s">
        <v>36</v>
      </c>
      <c r="E248">
        <v>40</v>
      </c>
      <c r="F248">
        <v>1</v>
      </c>
      <c r="G248">
        <v>40</v>
      </c>
      <c r="H248" t="s">
        <v>43</v>
      </c>
      <c r="I248" t="s">
        <v>30</v>
      </c>
      <c r="J248" t="s">
        <v>16</v>
      </c>
      <c r="K248" t="s">
        <v>17</v>
      </c>
    </row>
    <row r="249" spans="1:11" x14ac:dyDescent="0.35">
      <c r="A249" t="s">
        <v>301</v>
      </c>
      <c r="B249" s="1" t="d">
        <v>2025-03-05</v>
      </c>
      <c r="C249" t="s">
        <v>35</v>
      </c>
      <c r="D249" t="s">
        <v>36</v>
      </c>
      <c r="E249">
        <v>20</v>
      </c>
      <c r="F249">
        <v>2</v>
      </c>
      <c r="G249">
        <v>40</v>
      </c>
      <c r="H249" t="s">
        <v>72</v>
      </c>
      <c r="I249" t="s">
        <v>26</v>
      </c>
      <c r="J249" t="s">
        <v>16</v>
      </c>
      <c r="K249" t="s">
        <v>17</v>
      </c>
    </row>
    <row r="250" spans="1:11" x14ac:dyDescent="0.35">
      <c r="A250" t="s">
        <v>302</v>
      </c>
      <c r="B250" s="1" t="d">
        <v>2025-03-08</v>
      </c>
      <c r="C250" t="s">
        <v>33</v>
      </c>
      <c r="D250" t="s">
        <v>20</v>
      </c>
      <c r="E250">
        <v>150</v>
      </c>
      <c r="F250">
        <v>3</v>
      </c>
      <c r="G250">
        <v>450</v>
      </c>
      <c r="H250" t="s">
        <v>21</v>
      </c>
      <c r="I250" t="s">
        <v>15</v>
      </c>
      <c r="J250" t="s">
        <v>16</v>
      </c>
      <c r="K250" t="s">
        <v>17</v>
      </c>
    </row>
    <row r="251" spans="1:11" x14ac:dyDescent="0.35">
      <c r="A251" t="s">
        <v>303</v>
      </c>
      <c r="B251" s="1" t="d">
        <v>2025-02-19</v>
      </c>
      <c r="C251" t="s">
        <v>42</v>
      </c>
      <c r="D251" t="s">
        <v>20</v>
      </c>
      <c r="E251">
        <v>500</v>
      </c>
      <c r="F251">
        <v>4</v>
      </c>
      <c r="G251">
        <v>2000</v>
      </c>
      <c r="H251" t="s">
        <v>21</v>
      </c>
      <c r="I251" t="s">
        <v>63</v>
      </c>
      <c r="J251" t="s">
        <v>27</v>
      </c>
      <c r="K251" t="s">
        <v>40</v>
      </c>
    </row>
  </sheetData>
  <pageMargins left="0.7" right="0.7" top="0.75" bottom="0.75" header="0.3" footer="0.3"/>
</worksheet>
</file>

<file path=xl/worksheets/sheet3.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518672-20AC-4333-B067-5304C2398FA9}">
  <dimension ref="A1:O251"/>
  <sheetViews>
    <sheetView workbookViewId="0">
      <selection activeCell="K251" sqref="K251"/>
    </sheetView>
  </sheetViews>
  <sheetFormatPr defaultRowHeight="14.5" x14ac:dyDescent="0.35"/>
  <cols>
    <col min="1" max="1" width="10" customWidth="1"/>
    <col min="2" max="2" width="10.08984375" bestFit="1" customWidth="1"/>
    <col min="3" max="3" width="15.7265625" bestFit="1" customWidth="1"/>
    <col min="4" max="4" width="15.36328125" bestFit="1" customWidth="1"/>
    <col min="5" max="5" width="6.90625" customWidth="1"/>
    <col min="6" max="6" width="10.1796875" customWidth="1"/>
    <col min="7" max="7" width="11.7265625" customWidth="1"/>
    <col min="8" max="8" width="16.36328125" customWidth="1"/>
    <col min="9" max="9" width="18.54296875" customWidth="1"/>
    <col min="10" max="10" width="17.453125" customWidth="1"/>
    <col min="11" max="11" width="9.90625" bestFit="1" customWidth="1"/>
  </cols>
  <sheetData>
    <row r="1" spans="1:15" x14ac:dyDescent="0.35">
      <c r="A1" t="s">
        <v>0</v>
      </c>
      <c r="B1" t="s">
        <v>1</v>
      </c>
      <c r="C1" t="s">
        <v>2</v>
      </c>
      <c r="D1" t="s">
        <v>3</v>
      </c>
      <c r="E1" t="s">
        <v>4</v>
      </c>
      <c r="F1" t="s">
        <v>5</v>
      </c>
      <c r="G1" t="s">
        <v>6</v>
      </c>
      <c r="H1" t="s">
        <v>7</v>
      </c>
      <c r="I1" t="s">
        <v>8</v>
      </c>
      <c r="J1" t="s">
        <v>9</v>
      </c>
      <c r="K1" t="s">
        <v>10</v>
      </c>
      <c r="L1" t="s">
        <v>307</v>
      </c>
      <c r="M1" t="s">
        <v>308</v>
      </c>
      <c r="N1" t="s">
        <v>309</v>
      </c>
      <c r="O1" t="s">
        <v>310</v>
      </c>
    </row>
    <row r="2" spans="1:15" x14ac:dyDescent="0.35">
      <c r="A2" t="s">
        <v>11</v>
      </c>
      <c r="B2" s="1" t="d">
        <v>2025-03-14</v>
      </c>
      <c r="C2" t="s">
        <v>12</v>
      </c>
      <c r="D2" t="s">
        <v>13</v>
      </c>
      <c r="E2">
        <v>60</v>
      </c>
      <c r="F2">
        <v>3</v>
      </c>
      <c r="G2">
        <v>180</v>
      </c>
      <c r="H2" t="s">
        <v>14</v>
      </c>
      <c r="I2" t="s">
        <v>15</v>
      </c>
      <c r="J2" t="s">
        <v>16</v>
      </c>
      <c r="K2" t="s">
        <v>17</v>
      </c>
      <c r="L2" t="str">
        <f>IF(E2*F2=G2,"OK","CHECK")</f>
        <v>OK</v>
      </c>
      <c r="M2" t="str">
        <f>TEXT(B2,"MMM")</f>
        <v>Mar</v>
      </c>
      <c r="N2" t="str">
        <f t="shared" ref="N2:N65" si="0">TEXT(B2,"dddd")</f>
        <v>Friday</v>
      </c>
      <c r="O2" t="str">
        <f>IF(K2="Completed","Delivered",K2)</f>
        <v>Cancelled</v>
      </c>
    </row>
    <row r="3" spans="1:15" x14ac:dyDescent="0.35">
      <c r="A3" t="s">
        <v>18</v>
      </c>
      <c r="B3" s="1" t="d">
        <v>2025-03-20</v>
      </c>
      <c r="C3" t="s">
        <v>19</v>
      </c>
      <c r="D3" t="s">
        <v>20</v>
      </c>
      <c r="E3">
        <v>100</v>
      </c>
      <c r="F3">
        <v>4</v>
      </c>
      <c r="G3">
        <v>400</v>
      </c>
      <c r="H3" t="s">
        <v>21</v>
      </c>
      <c r="I3" t="s">
        <v>22</v>
      </c>
      <c r="J3" t="s">
        <v>16</v>
      </c>
      <c r="K3" t="s">
        <v>23</v>
      </c>
      <c r="L3" t="str">
        <f t="shared" ref="L2:L65" si="1">IF(E3*F3=G3,"OK","CHECK")</f>
        <v>OK</v>
      </c>
      <c r="M3" t="str">
        <f t="shared" ref="M2:M65" si="2">TEXT(B3,"MMM")</f>
        <v>Mar</v>
      </c>
      <c r="N3" t="str">
        <f t="shared" si="0"/>
        <v>Thursday</v>
      </c>
      <c r="O3" t="str">
        <f t="shared" ref="O2:O65" si="3">IF(K3="Completed","Delivered",K3)</f>
        <v>Pending</v>
      </c>
    </row>
    <row r="4" spans="1:15" x14ac:dyDescent="0.35">
      <c r="A4" t="s">
        <v>24</v>
      </c>
      <c r="B4" s="1" t="d">
        <v>2025-02-15</v>
      </c>
      <c r="C4" t="s">
        <v>12</v>
      </c>
      <c r="D4" t="s">
        <v>13</v>
      </c>
      <c r="E4">
        <v>60</v>
      </c>
      <c r="F4">
        <v>2</v>
      </c>
      <c r="G4">
        <v>120</v>
      </c>
      <c r="H4" t="s">
        <v>25</v>
      </c>
      <c r="I4" t="s">
        <v>26</v>
      </c>
      <c r="J4" t="s">
        <v>27</v>
      </c>
      <c r="K4" t="s">
        <v>17</v>
      </c>
      <c r="L4" t="str">
        <f t="shared" si="1"/>
        <v>OK</v>
      </c>
      <c r="M4" t="str">
        <f t="shared" si="2"/>
        <v>Feb</v>
      </c>
      <c r="N4" t="str">
        <f t="shared" si="0"/>
        <v>Saturday</v>
      </c>
      <c r="O4" t="str">
        <f t="shared" si="3"/>
        <v>Cancelled</v>
      </c>
    </row>
    <row r="5" spans="1:15" x14ac:dyDescent="0.35">
      <c r="A5" t="s">
        <v>28</v>
      </c>
      <c r="B5" s="1" t="d">
        <v>2025-02-19</v>
      </c>
      <c r="C5" t="s">
        <v>12</v>
      </c>
      <c r="D5" t="s">
        <v>13</v>
      </c>
      <c r="E5">
        <v>60</v>
      </c>
      <c r="F5">
        <v>3</v>
      </c>
      <c r="G5">
        <v>180</v>
      </c>
      <c r="H5" t="s">
        <v>29</v>
      </c>
      <c r="I5" t="s">
        <v>30</v>
      </c>
      <c r="J5" t="s">
        <v>31</v>
      </c>
      <c r="K5" t="s">
        <v>23</v>
      </c>
      <c r="L5" t="str">
        <f t="shared" si="1"/>
        <v>OK</v>
      </c>
      <c r="M5" t="str">
        <f t="shared" si="2"/>
        <v>Feb</v>
      </c>
      <c r="N5" t="str">
        <f t="shared" si="0"/>
        <v>Wednesday</v>
      </c>
      <c r="O5" t="str">
        <f t="shared" si="3"/>
        <v>Pending</v>
      </c>
    </row>
    <row r="6" spans="1:15" x14ac:dyDescent="0.35">
      <c r="A6" t="s">
        <v>32</v>
      </c>
      <c r="B6" s="1" t="d">
        <v>2025-03-10</v>
      </c>
      <c r="C6" t="s">
        <v>33</v>
      </c>
      <c r="D6" t="s">
        <v>20</v>
      </c>
      <c r="E6">
        <v>150</v>
      </c>
      <c r="F6">
        <v>3</v>
      </c>
      <c r="G6">
        <v>450</v>
      </c>
      <c r="H6" t="s">
        <v>14</v>
      </c>
      <c r="I6" t="s">
        <v>15</v>
      </c>
      <c r="J6" t="s">
        <v>16</v>
      </c>
      <c r="K6" t="s">
        <v>23</v>
      </c>
      <c r="L6" t="str">
        <f t="shared" si="1"/>
        <v>OK</v>
      </c>
      <c r="M6" t="str">
        <f t="shared" si="2"/>
        <v>Mar</v>
      </c>
      <c r="N6" t="str">
        <f t="shared" si="0"/>
        <v>Monday</v>
      </c>
      <c r="O6" t="str">
        <f t="shared" si="3"/>
        <v>Pending</v>
      </c>
    </row>
    <row r="7" spans="1:15" x14ac:dyDescent="0.35">
      <c r="A7" t="s">
        <v>34</v>
      </c>
      <c r="B7" s="1" t="d">
        <v>2025-03-14</v>
      </c>
      <c r="C7" t="s">
        <v>35</v>
      </c>
      <c r="D7" t="s">
        <v>36</v>
      </c>
      <c r="E7">
        <v>20</v>
      </c>
      <c r="F7">
        <v>1</v>
      </c>
      <c r="G7">
        <v>20</v>
      </c>
      <c r="H7" t="s">
        <v>25</v>
      </c>
      <c r="I7" t="s">
        <v>30</v>
      </c>
      <c r="J7" t="s">
        <v>31</v>
      </c>
      <c r="K7" t="s">
        <v>23</v>
      </c>
      <c r="L7" t="str">
        <f t="shared" si="1"/>
        <v>OK</v>
      </c>
      <c r="M7" t="str">
        <f t="shared" si="2"/>
        <v>Mar</v>
      </c>
      <c r="N7" t="str">
        <f t="shared" si="0"/>
        <v>Friday</v>
      </c>
      <c r="O7" t="str">
        <f t="shared" si="3"/>
        <v>Pending</v>
      </c>
    </row>
    <row r="8" spans="1:15" x14ac:dyDescent="0.35">
      <c r="A8" t="s">
        <v>37</v>
      </c>
      <c r="B8" s="1" t="d">
        <v>2025-03-18</v>
      </c>
      <c r="C8" t="s">
        <v>33</v>
      </c>
      <c r="D8" t="s">
        <v>20</v>
      </c>
      <c r="E8">
        <v>150</v>
      </c>
      <c r="F8">
        <v>4</v>
      </c>
      <c r="G8">
        <v>600</v>
      </c>
      <c r="H8" t="s">
        <v>14</v>
      </c>
      <c r="I8" t="s">
        <v>38</v>
      </c>
      <c r="J8" t="s">
        <v>39</v>
      </c>
      <c r="K8" t="s">
        <v>40</v>
      </c>
      <c r="L8" t="str">
        <f t="shared" si="1"/>
        <v>OK</v>
      </c>
      <c r="M8" t="str">
        <f t="shared" si="2"/>
        <v>Mar</v>
      </c>
      <c r="N8" t="str">
        <f t="shared" si="0"/>
        <v>Tuesday</v>
      </c>
      <c r="O8" t="str">
        <f t="shared" si="3"/>
        <v>Delivered</v>
      </c>
    </row>
    <row r="9" spans="1:15" x14ac:dyDescent="0.35">
      <c r="A9" t="s">
        <v>41</v>
      </c>
      <c r="B9" s="1" t="d">
        <v>2025-03-02</v>
      </c>
      <c r="C9" t="s">
        <v>42</v>
      </c>
      <c r="D9" t="s">
        <v>20</v>
      </c>
      <c r="E9">
        <v>500</v>
      </c>
      <c r="F9">
        <v>1</v>
      </c>
      <c r="G9">
        <v>500</v>
      </c>
      <c r="H9" t="s">
        <v>43</v>
      </c>
      <c r="I9" t="s">
        <v>44</v>
      </c>
      <c r="J9" t="s">
        <v>39</v>
      </c>
      <c r="K9" t="s">
        <v>40</v>
      </c>
      <c r="L9" t="str">
        <f t="shared" si="1"/>
        <v>OK</v>
      </c>
      <c r="M9" t="str">
        <f t="shared" si="2"/>
        <v>Mar</v>
      </c>
      <c r="N9" t="str">
        <f t="shared" si="0"/>
        <v>Sunday</v>
      </c>
      <c r="O9" t="str">
        <f t="shared" si="3"/>
        <v>Delivered</v>
      </c>
    </row>
    <row r="10" spans="1:15" x14ac:dyDescent="0.35">
      <c r="A10" t="s">
        <v>45</v>
      </c>
      <c r="B10" s="1" t="d">
        <v>2025-03-08</v>
      </c>
      <c r="C10" t="s">
        <v>35</v>
      </c>
      <c r="D10" t="s">
        <v>36</v>
      </c>
      <c r="E10">
        <v>20</v>
      </c>
      <c r="F10">
        <v>3</v>
      </c>
      <c r="G10">
        <v>60</v>
      </c>
      <c r="H10" t="s">
        <v>43</v>
      </c>
      <c r="I10" t="s">
        <v>46</v>
      </c>
      <c r="J10" t="s">
        <v>39</v>
      </c>
      <c r="K10" t="s">
        <v>40</v>
      </c>
      <c r="L10" t="str">
        <f t="shared" si="1"/>
        <v>OK</v>
      </c>
      <c r="M10" t="str">
        <f t="shared" si="2"/>
        <v>Mar</v>
      </c>
      <c r="N10" t="str">
        <f t="shared" si="0"/>
        <v>Saturday</v>
      </c>
      <c r="O10" t="str">
        <f t="shared" si="3"/>
        <v>Delivered</v>
      </c>
    </row>
    <row r="11" spans="1:15" x14ac:dyDescent="0.35">
      <c r="A11" t="s">
        <v>47</v>
      </c>
      <c r="B11" s="1" t="d">
        <v>2025-03-12</v>
      </c>
      <c r="C11" t="s">
        <v>42</v>
      </c>
      <c r="D11" t="s">
        <v>20</v>
      </c>
      <c r="E11">
        <v>500</v>
      </c>
      <c r="F11">
        <v>1</v>
      </c>
      <c r="G11">
        <v>500</v>
      </c>
      <c r="H11" t="s">
        <v>21</v>
      </c>
      <c r="I11" t="s">
        <v>22</v>
      </c>
      <c r="J11" t="s">
        <v>31</v>
      </c>
      <c r="K11" t="s">
        <v>17</v>
      </c>
      <c r="L11" t="str">
        <f t="shared" si="1"/>
        <v>OK</v>
      </c>
      <c r="M11" t="str">
        <f t="shared" si="2"/>
        <v>Mar</v>
      </c>
      <c r="N11" t="str">
        <f t="shared" si="0"/>
        <v>Wednesday</v>
      </c>
      <c r="O11" t="str">
        <f t="shared" si="3"/>
        <v>Cancelled</v>
      </c>
    </row>
    <row r="12" spans="1:15" x14ac:dyDescent="0.35">
      <c r="A12" t="s">
        <v>48</v>
      </c>
      <c r="B12" s="1" t="d">
        <v>2025-02-17</v>
      </c>
      <c r="C12" t="s">
        <v>49</v>
      </c>
      <c r="D12" t="s">
        <v>50</v>
      </c>
      <c r="E12">
        <v>15</v>
      </c>
      <c r="F12">
        <v>2</v>
      </c>
      <c r="G12">
        <v>30</v>
      </c>
      <c r="H12" t="s">
        <v>51</v>
      </c>
      <c r="I12" t="s">
        <v>46</v>
      </c>
      <c r="J12" t="s">
        <v>27</v>
      </c>
      <c r="K12" t="s">
        <v>23</v>
      </c>
      <c r="L12" t="str">
        <f t="shared" si="1"/>
        <v>OK</v>
      </c>
      <c r="M12" t="str">
        <f t="shared" si="2"/>
        <v>Feb</v>
      </c>
      <c r="N12" t="str">
        <f t="shared" si="0"/>
        <v>Monday</v>
      </c>
      <c r="O12" t="str">
        <f t="shared" si="3"/>
        <v>Pending</v>
      </c>
    </row>
    <row r="13" spans="1:15" x14ac:dyDescent="0.35">
      <c r="A13" t="s">
        <v>52</v>
      </c>
      <c r="B13" s="1" t="d">
        <v>2025-03-13</v>
      </c>
      <c r="C13" t="s">
        <v>53</v>
      </c>
      <c r="D13" t="s">
        <v>36</v>
      </c>
      <c r="E13">
        <v>40</v>
      </c>
      <c r="F13">
        <v>4</v>
      </c>
      <c r="G13">
        <v>160</v>
      </c>
      <c r="H13" t="s">
        <v>54</v>
      </c>
      <c r="I13" t="s">
        <v>30</v>
      </c>
      <c r="J13" t="s">
        <v>31</v>
      </c>
      <c r="K13" t="s">
        <v>40</v>
      </c>
      <c r="L13" t="str">
        <f t="shared" si="1"/>
        <v>OK</v>
      </c>
      <c r="M13" t="str">
        <f t="shared" si="2"/>
        <v>Mar</v>
      </c>
      <c r="N13" t="str">
        <f t="shared" si="0"/>
        <v>Thursday</v>
      </c>
      <c r="O13" t="str">
        <f t="shared" si="3"/>
        <v>Delivered</v>
      </c>
    </row>
    <row r="14" spans="1:15" x14ac:dyDescent="0.35">
      <c r="A14" t="s">
        <v>55</v>
      </c>
      <c r="B14" s="1" t="d">
        <v>2025-03-01</v>
      </c>
      <c r="C14" t="s">
        <v>56</v>
      </c>
      <c r="D14" t="s">
        <v>20</v>
      </c>
      <c r="E14">
        <v>800</v>
      </c>
      <c r="F14">
        <v>2</v>
      </c>
      <c r="G14">
        <v>1600</v>
      </c>
      <c r="H14" t="s">
        <v>57</v>
      </c>
      <c r="I14" t="s">
        <v>22</v>
      </c>
      <c r="J14" t="s">
        <v>58</v>
      </c>
      <c r="K14" t="s">
        <v>23</v>
      </c>
      <c r="L14" t="str">
        <f t="shared" si="1"/>
        <v>OK</v>
      </c>
      <c r="M14" t="str">
        <f t="shared" si="2"/>
        <v>Mar</v>
      </c>
      <c r="N14" t="str">
        <f t="shared" si="0"/>
        <v>Saturday</v>
      </c>
      <c r="O14" t="str">
        <f t="shared" si="3"/>
        <v>Pending</v>
      </c>
    </row>
    <row r="15" spans="1:15" x14ac:dyDescent="0.35">
      <c r="A15" t="s">
        <v>59</v>
      </c>
      <c r="B15" s="1" t="d">
        <v>2025-03-04</v>
      </c>
      <c r="C15" t="s">
        <v>60</v>
      </c>
      <c r="D15" t="s">
        <v>61</v>
      </c>
      <c r="E15">
        <v>600</v>
      </c>
      <c r="F15">
        <v>3</v>
      </c>
      <c r="G15">
        <v>1800</v>
      </c>
      <c r="H15" t="s">
        <v>54</v>
      </c>
      <c r="I15" t="s">
        <v>44</v>
      </c>
      <c r="J15" t="s">
        <v>31</v>
      </c>
      <c r="K15" t="s">
        <v>17</v>
      </c>
      <c r="L15" t="str">
        <f t="shared" si="1"/>
        <v>OK</v>
      </c>
      <c r="M15" t="str">
        <f t="shared" si="2"/>
        <v>Mar</v>
      </c>
      <c r="N15" t="str">
        <f t="shared" si="0"/>
        <v>Tuesday</v>
      </c>
      <c r="O15" t="str">
        <f t="shared" si="3"/>
        <v>Cancelled</v>
      </c>
    </row>
    <row r="16" spans="1:15" x14ac:dyDescent="0.35">
      <c r="A16" t="s">
        <v>62</v>
      </c>
      <c r="B16" s="1" t="d">
        <v>2025-02-20</v>
      </c>
      <c r="C16" t="s">
        <v>33</v>
      </c>
      <c r="D16" t="s">
        <v>20</v>
      </c>
      <c r="E16">
        <v>150</v>
      </c>
      <c r="F16">
        <v>4</v>
      </c>
      <c r="G16">
        <v>600</v>
      </c>
      <c r="H16" t="s">
        <v>25</v>
      </c>
      <c r="I16" t="s">
        <v>63</v>
      </c>
      <c r="J16" t="s">
        <v>31</v>
      </c>
      <c r="K16" t="s">
        <v>40</v>
      </c>
      <c r="L16" t="str">
        <f t="shared" si="1"/>
        <v>OK</v>
      </c>
      <c r="M16" t="str">
        <f t="shared" si="2"/>
        <v>Feb</v>
      </c>
      <c r="N16" t="str">
        <f t="shared" si="0"/>
        <v>Thursday</v>
      </c>
      <c r="O16" t="str">
        <f t="shared" si="3"/>
        <v>Delivered</v>
      </c>
    </row>
    <row r="17" spans="1:15" x14ac:dyDescent="0.35">
      <c r="A17" t="s">
        <v>64</v>
      </c>
      <c r="B17" s="1" t="d">
        <v>2025-02-26</v>
      </c>
      <c r="C17" t="s">
        <v>65</v>
      </c>
      <c r="D17" t="s">
        <v>61</v>
      </c>
      <c r="E17">
        <v>1200</v>
      </c>
      <c r="F17">
        <v>1</v>
      </c>
      <c r="G17">
        <v>1200</v>
      </c>
      <c r="H17" t="s">
        <v>25</v>
      </c>
      <c r="I17" t="s">
        <v>46</v>
      </c>
      <c r="J17" t="s">
        <v>31</v>
      </c>
      <c r="K17" t="s">
        <v>17</v>
      </c>
      <c r="L17" t="str">
        <f t="shared" si="1"/>
        <v>OK</v>
      </c>
      <c r="M17" t="str">
        <f t="shared" si="2"/>
        <v>Feb</v>
      </c>
      <c r="N17" t="str">
        <f t="shared" si="0"/>
        <v>Wednesday</v>
      </c>
      <c r="O17" t="str">
        <f t="shared" si="3"/>
        <v>Cancelled</v>
      </c>
    </row>
    <row r="18" spans="1:15" x14ac:dyDescent="0.35">
      <c r="A18" t="s">
        <v>66</v>
      </c>
      <c r="B18" s="1" t="d">
        <v>2025-04-01</v>
      </c>
      <c r="C18" t="s">
        <v>35</v>
      </c>
      <c r="D18" t="s">
        <v>36</v>
      </c>
      <c r="E18">
        <v>20</v>
      </c>
      <c r="F18">
        <v>1</v>
      </c>
      <c r="G18">
        <v>20</v>
      </c>
      <c r="H18" t="s">
        <v>14</v>
      </c>
      <c r="I18" t="s">
        <v>15</v>
      </c>
      <c r="J18" t="s">
        <v>27</v>
      </c>
      <c r="K18" t="s">
        <v>40</v>
      </c>
      <c r="L18" t="str">
        <f t="shared" si="1"/>
        <v>OK</v>
      </c>
      <c r="M18" t="str">
        <f t="shared" si="2"/>
        <v>Apr</v>
      </c>
      <c r="N18" t="str">
        <f t="shared" si="0"/>
        <v>Tuesday</v>
      </c>
      <c r="O18" t="str">
        <f t="shared" si="3"/>
        <v>Delivered</v>
      </c>
    </row>
    <row r="19" spans="1:15" x14ac:dyDescent="0.35">
      <c r="A19" t="s">
        <v>67</v>
      </c>
      <c r="B19" s="1" t="d">
        <v>2025-02-10</v>
      </c>
      <c r="C19" t="s">
        <v>42</v>
      </c>
      <c r="D19" t="s">
        <v>20</v>
      </c>
      <c r="E19">
        <v>500</v>
      </c>
      <c r="F19">
        <v>2</v>
      </c>
      <c r="G19">
        <v>1000</v>
      </c>
      <c r="H19" t="s">
        <v>54</v>
      </c>
      <c r="I19" t="s">
        <v>68</v>
      </c>
      <c r="J19" t="s">
        <v>27</v>
      </c>
      <c r="K19" t="s">
        <v>40</v>
      </c>
      <c r="L19" t="str">
        <f t="shared" si="1"/>
        <v>OK</v>
      </c>
      <c r="M19" t="str">
        <f t="shared" si="2"/>
        <v>Feb</v>
      </c>
      <c r="N19" t="str">
        <f t="shared" si="0"/>
        <v>Monday</v>
      </c>
      <c r="O19" t="str">
        <f t="shared" si="3"/>
        <v>Delivered</v>
      </c>
    </row>
    <row r="20" spans="1:15" x14ac:dyDescent="0.35">
      <c r="A20" t="s">
        <v>69</v>
      </c>
      <c r="B20" s="1" t="d">
        <v>2025-03-22</v>
      </c>
      <c r="C20" t="s">
        <v>12</v>
      </c>
      <c r="D20" t="s">
        <v>13</v>
      </c>
      <c r="E20">
        <v>60</v>
      </c>
      <c r="F20">
        <v>3</v>
      </c>
      <c r="G20">
        <v>180</v>
      </c>
      <c r="H20" t="s">
        <v>29</v>
      </c>
      <c r="I20" t="s">
        <v>38</v>
      </c>
      <c r="J20" t="s">
        <v>31</v>
      </c>
      <c r="K20" t="s">
        <v>40</v>
      </c>
      <c r="L20" t="str">
        <f t="shared" si="1"/>
        <v>OK</v>
      </c>
      <c r="M20" t="str">
        <f t="shared" si="2"/>
        <v>Mar</v>
      </c>
      <c r="N20" t="str">
        <f t="shared" si="0"/>
        <v>Saturday</v>
      </c>
      <c r="O20" t="str">
        <f t="shared" si="3"/>
        <v>Delivered</v>
      </c>
    </row>
    <row r="21" spans="1:15" x14ac:dyDescent="0.35">
      <c r="A21" t="s">
        <v>70</v>
      </c>
      <c r="B21" s="1" t="d">
        <v>2025-03-07</v>
      </c>
      <c r="C21" t="s">
        <v>19</v>
      </c>
      <c r="D21" t="s">
        <v>20</v>
      </c>
      <c r="E21">
        <v>100</v>
      </c>
      <c r="F21">
        <v>4</v>
      </c>
      <c r="G21">
        <v>400</v>
      </c>
      <c r="H21" t="s">
        <v>29</v>
      </c>
      <c r="I21" t="s">
        <v>63</v>
      </c>
      <c r="J21" t="s">
        <v>16</v>
      </c>
      <c r="K21" t="s">
        <v>23</v>
      </c>
      <c r="L21" t="str">
        <f t="shared" si="1"/>
        <v>OK</v>
      </c>
      <c r="M21" t="str">
        <f t="shared" si="2"/>
        <v>Mar</v>
      </c>
      <c r="N21" t="str">
        <f t="shared" si="0"/>
        <v>Friday</v>
      </c>
      <c r="O21" t="str">
        <f t="shared" si="3"/>
        <v>Pending</v>
      </c>
    </row>
    <row r="22" spans="1:15" x14ac:dyDescent="0.35">
      <c r="A22" t="s">
        <v>71</v>
      </c>
      <c r="B22" s="1" t="d">
        <v>2025-02-05</v>
      </c>
      <c r="C22" t="s">
        <v>19</v>
      </c>
      <c r="D22" t="s">
        <v>20</v>
      </c>
      <c r="E22">
        <v>100</v>
      </c>
      <c r="F22">
        <v>3</v>
      </c>
      <c r="G22">
        <v>300</v>
      </c>
      <c r="H22" t="s">
        <v>72</v>
      </c>
      <c r="I22" t="s">
        <v>44</v>
      </c>
      <c r="J22" t="s">
        <v>16</v>
      </c>
      <c r="K22" t="s">
        <v>17</v>
      </c>
      <c r="L22" t="str">
        <f t="shared" si="1"/>
        <v>OK</v>
      </c>
      <c r="M22" t="str">
        <f t="shared" si="2"/>
        <v>Feb</v>
      </c>
      <c r="N22" t="str">
        <f t="shared" si="0"/>
        <v>Wednesday</v>
      </c>
      <c r="O22" t="str">
        <f t="shared" si="3"/>
        <v>Cancelled</v>
      </c>
    </row>
    <row r="23" spans="1:15" x14ac:dyDescent="0.35">
      <c r="A23" t="s">
        <v>73</v>
      </c>
      <c r="B23" s="1" t="d">
        <v>2025-03-07</v>
      </c>
      <c r="C23" t="s">
        <v>65</v>
      </c>
      <c r="D23" t="s">
        <v>61</v>
      </c>
      <c r="E23">
        <v>1200</v>
      </c>
      <c r="F23">
        <v>4</v>
      </c>
      <c r="G23">
        <v>4800</v>
      </c>
      <c r="H23" t="s">
        <v>29</v>
      </c>
      <c r="I23" t="s">
        <v>38</v>
      </c>
      <c r="J23" t="s">
        <v>31</v>
      </c>
      <c r="K23" t="s">
        <v>23</v>
      </c>
      <c r="L23" t="str">
        <f t="shared" si="1"/>
        <v>OK</v>
      </c>
      <c r="M23" t="str">
        <f t="shared" si="2"/>
        <v>Mar</v>
      </c>
      <c r="N23" t="str">
        <f t="shared" si="0"/>
        <v>Friday</v>
      </c>
      <c r="O23" t="str">
        <f t="shared" si="3"/>
        <v>Pending</v>
      </c>
    </row>
    <row r="24" spans="1:15" x14ac:dyDescent="0.35">
      <c r="A24" t="s">
        <v>74</v>
      </c>
      <c r="B24" s="1" t="d">
        <v>2025-02-23</v>
      </c>
      <c r="C24" t="s">
        <v>49</v>
      </c>
      <c r="D24" t="s">
        <v>50</v>
      </c>
      <c r="E24">
        <v>15</v>
      </c>
      <c r="F24">
        <v>1</v>
      </c>
      <c r="G24">
        <v>15</v>
      </c>
      <c r="H24" t="s">
        <v>14</v>
      </c>
      <c r="I24" t="s">
        <v>38</v>
      </c>
      <c r="J24" t="s">
        <v>31</v>
      </c>
      <c r="K24" t="s">
        <v>23</v>
      </c>
      <c r="L24" t="str">
        <f t="shared" si="1"/>
        <v>OK</v>
      </c>
      <c r="M24" t="str">
        <f t="shared" si="2"/>
        <v>Feb</v>
      </c>
      <c r="N24" t="str">
        <f t="shared" si="0"/>
        <v>Sunday</v>
      </c>
      <c r="O24" t="str">
        <f t="shared" si="3"/>
        <v>Pending</v>
      </c>
    </row>
    <row r="25" spans="1:15" x14ac:dyDescent="0.35">
      <c r="A25" t="s">
        <v>75</v>
      </c>
      <c r="B25" s="1" t="d">
        <v>2025-03-24</v>
      </c>
      <c r="C25" t="s">
        <v>65</v>
      </c>
      <c r="D25" t="s">
        <v>61</v>
      </c>
      <c r="E25">
        <v>1200</v>
      </c>
      <c r="F25">
        <v>3</v>
      </c>
      <c r="G25">
        <v>3600</v>
      </c>
      <c r="H25" t="s">
        <v>72</v>
      </c>
      <c r="I25" t="s">
        <v>30</v>
      </c>
      <c r="J25" t="s">
        <v>31</v>
      </c>
      <c r="K25" t="s">
        <v>17</v>
      </c>
      <c r="L25" t="str">
        <f t="shared" si="1"/>
        <v>OK</v>
      </c>
      <c r="M25" t="str">
        <f t="shared" si="2"/>
        <v>Mar</v>
      </c>
      <c r="N25" t="str">
        <f t="shared" si="0"/>
        <v>Monday</v>
      </c>
      <c r="O25" t="str">
        <f t="shared" si="3"/>
        <v>Cancelled</v>
      </c>
    </row>
    <row r="26" spans="1:15" x14ac:dyDescent="0.35">
      <c r="A26" t="s">
        <v>76</v>
      </c>
      <c r="B26" s="1" t="d">
        <v>2025-03-02</v>
      </c>
      <c r="C26" t="s">
        <v>49</v>
      </c>
      <c r="D26" t="s">
        <v>50</v>
      </c>
      <c r="E26">
        <v>15</v>
      </c>
      <c r="F26">
        <v>5</v>
      </c>
      <c r="G26">
        <v>75</v>
      </c>
      <c r="H26" t="s">
        <v>43</v>
      </c>
      <c r="I26" t="s">
        <v>63</v>
      </c>
      <c r="J26" t="s">
        <v>27</v>
      </c>
      <c r="K26" t="s">
        <v>40</v>
      </c>
      <c r="L26" t="str">
        <f t="shared" si="1"/>
        <v>OK</v>
      </c>
      <c r="M26" t="str">
        <f t="shared" si="2"/>
        <v>Mar</v>
      </c>
      <c r="N26" t="str">
        <f t="shared" si="0"/>
        <v>Sunday</v>
      </c>
      <c r="O26" t="str">
        <f t="shared" si="3"/>
        <v>Delivered</v>
      </c>
    </row>
    <row r="27" spans="1:15" x14ac:dyDescent="0.35">
      <c r="A27" t="s">
        <v>77</v>
      </c>
      <c r="B27" s="1" t="d">
        <v>2025-02-14</v>
      </c>
      <c r="C27" t="s">
        <v>60</v>
      </c>
      <c r="D27" t="s">
        <v>61</v>
      </c>
      <c r="E27">
        <v>600</v>
      </c>
      <c r="F27">
        <v>1</v>
      </c>
      <c r="G27">
        <v>600</v>
      </c>
      <c r="H27" t="s">
        <v>29</v>
      </c>
      <c r="I27" t="s">
        <v>46</v>
      </c>
      <c r="J27" t="s">
        <v>16</v>
      </c>
      <c r="K27" t="s">
        <v>17</v>
      </c>
      <c r="L27" t="str">
        <f t="shared" si="1"/>
        <v>OK</v>
      </c>
      <c r="M27" t="str">
        <f t="shared" si="2"/>
        <v>Feb</v>
      </c>
      <c r="N27" t="str">
        <f t="shared" si="0"/>
        <v>Friday</v>
      </c>
      <c r="O27" t="str">
        <f t="shared" si="3"/>
        <v>Cancelled</v>
      </c>
    </row>
    <row r="28" spans="1:15" x14ac:dyDescent="0.35">
      <c r="A28" t="s">
        <v>78</v>
      </c>
      <c r="B28" s="1" t="d">
        <v>2025-02-07</v>
      </c>
      <c r="C28" t="s">
        <v>35</v>
      </c>
      <c r="D28" t="s">
        <v>36</v>
      </c>
      <c r="E28">
        <v>20</v>
      </c>
      <c r="F28">
        <v>1</v>
      </c>
      <c r="G28">
        <v>20</v>
      </c>
      <c r="H28" t="s">
        <v>57</v>
      </c>
      <c r="I28" t="s">
        <v>15</v>
      </c>
      <c r="J28" t="s">
        <v>27</v>
      </c>
      <c r="K28" t="s">
        <v>23</v>
      </c>
      <c r="L28" t="str">
        <f t="shared" si="1"/>
        <v>OK</v>
      </c>
      <c r="M28" t="str">
        <f t="shared" si="2"/>
        <v>Feb</v>
      </c>
      <c r="N28" t="str">
        <f t="shared" si="0"/>
        <v>Friday</v>
      </c>
      <c r="O28" t="str">
        <f t="shared" si="3"/>
        <v>Pending</v>
      </c>
    </row>
    <row r="29" spans="1:15" x14ac:dyDescent="0.35">
      <c r="A29" t="s">
        <v>79</v>
      </c>
      <c r="B29" s="1" t="d">
        <v>2025-02-03</v>
      </c>
      <c r="C29" t="s">
        <v>19</v>
      </c>
      <c r="D29" t="s">
        <v>20</v>
      </c>
      <c r="E29">
        <v>100</v>
      </c>
      <c r="F29">
        <v>1</v>
      </c>
      <c r="G29">
        <v>100</v>
      </c>
      <c r="H29" t="s">
        <v>80</v>
      </c>
      <c r="I29" t="s">
        <v>81</v>
      </c>
      <c r="J29" t="s">
        <v>27</v>
      </c>
      <c r="K29" t="s">
        <v>40</v>
      </c>
      <c r="L29" t="str">
        <f t="shared" si="1"/>
        <v>OK</v>
      </c>
      <c r="M29" t="str">
        <f t="shared" si="2"/>
        <v>Feb</v>
      </c>
      <c r="N29" t="str">
        <f t="shared" si="0"/>
        <v>Monday</v>
      </c>
      <c r="O29" t="str">
        <f t="shared" si="3"/>
        <v>Delivered</v>
      </c>
    </row>
    <row r="30" spans="1:15" x14ac:dyDescent="0.35">
      <c r="A30" t="s">
        <v>82</v>
      </c>
      <c r="B30" s="1" t="d">
        <v>2025-02-12</v>
      </c>
      <c r="C30" t="s">
        <v>42</v>
      </c>
      <c r="D30" t="s">
        <v>20</v>
      </c>
      <c r="E30">
        <v>500</v>
      </c>
      <c r="F30">
        <v>1</v>
      </c>
      <c r="G30">
        <v>500</v>
      </c>
      <c r="H30" t="s">
        <v>43</v>
      </c>
      <c r="I30" t="s">
        <v>26</v>
      </c>
      <c r="J30" t="s">
        <v>31</v>
      </c>
      <c r="K30" t="s">
        <v>17</v>
      </c>
      <c r="L30" t="str">
        <f t="shared" si="1"/>
        <v>OK</v>
      </c>
      <c r="M30" t="str">
        <f t="shared" si="2"/>
        <v>Feb</v>
      </c>
      <c r="N30" t="str">
        <f t="shared" si="0"/>
        <v>Wednesday</v>
      </c>
      <c r="O30" t="str">
        <f t="shared" si="3"/>
        <v>Cancelled</v>
      </c>
    </row>
    <row r="31" spans="1:15" x14ac:dyDescent="0.35">
      <c r="A31" t="s">
        <v>83</v>
      </c>
      <c r="B31" s="1" t="d">
        <v>2025-02-10</v>
      </c>
      <c r="C31" t="s">
        <v>60</v>
      </c>
      <c r="D31" t="s">
        <v>61</v>
      </c>
      <c r="E31">
        <v>600</v>
      </c>
      <c r="F31">
        <v>3</v>
      </c>
      <c r="G31">
        <v>1800</v>
      </c>
      <c r="H31" t="s">
        <v>21</v>
      </c>
      <c r="I31" t="s">
        <v>30</v>
      </c>
      <c r="J31" t="s">
        <v>58</v>
      </c>
      <c r="K31" t="s">
        <v>17</v>
      </c>
      <c r="L31" t="str">
        <f t="shared" si="1"/>
        <v>OK</v>
      </c>
      <c r="M31" t="str">
        <f t="shared" si="2"/>
        <v>Feb</v>
      </c>
      <c r="N31" t="str">
        <f t="shared" si="0"/>
        <v>Monday</v>
      </c>
      <c r="O31" t="str">
        <f t="shared" si="3"/>
        <v>Cancelled</v>
      </c>
    </row>
    <row r="32" spans="1:15" x14ac:dyDescent="0.35">
      <c r="A32" t="s">
        <v>84</v>
      </c>
      <c r="B32" s="1" t="d">
        <v>2025-03-24</v>
      </c>
      <c r="C32" t="s">
        <v>42</v>
      </c>
      <c r="D32" t="s">
        <v>20</v>
      </c>
      <c r="E32">
        <v>500</v>
      </c>
      <c r="F32">
        <v>1</v>
      </c>
      <c r="G32">
        <v>500</v>
      </c>
      <c r="H32" t="s">
        <v>25</v>
      </c>
      <c r="I32" t="s">
        <v>38</v>
      </c>
      <c r="J32" t="s">
        <v>58</v>
      </c>
      <c r="K32" t="s">
        <v>23</v>
      </c>
      <c r="L32" t="str">
        <f t="shared" si="1"/>
        <v>OK</v>
      </c>
      <c r="M32" t="str">
        <f t="shared" si="2"/>
        <v>Mar</v>
      </c>
      <c r="N32" t="str">
        <f t="shared" si="0"/>
        <v>Monday</v>
      </c>
      <c r="O32" t="str">
        <f t="shared" si="3"/>
        <v>Pending</v>
      </c>
    </row>
    <row r="33" spans="1:15" x14ac:dyDescent="0.35">
      <c r="A33" t="s">
        <v>85</v>
      </c>
      <c r="B33" s="1" t="d">
        <v>2025-03-10</v>
      </c>
      <c r="C33" t="s">
        <v>42</v>
      </c>
      <c r="D33" t="s">
        <v>20</v>
      </c>
      <c r="E33">
        <v>500</v>
      </c>
      <c r="F33">
        <v>4</v>
      </c>
      <c r="G33">
        <v>2000</v>
      </c>
      <c r="H33" t="s">
        <v>54</v>
      </c>
      <c r="I33" t="s">
        <v>63</v>
      </c>
      <c r="J33" t="s">
        <v>39</v>
      </c>
      <c r="K33" t="s">
        <v>23</v>
      </c>
      <c r="L33" t="str">
        <f t="shared" si="1"/>
        <v>OK</v>
      </c>
      <c r="M33" t="str">
        <f t="shared" si="2"/>
        <v>Mar</v>
      </c>
      <c r="N33" t="str">
        <f t="shared" si="0"/>
        <v>Monday</v>
      </c>
      <c r="O33" t="str">
        <f t="shared" si="3"/>
        <v>Pending</v>
      </c>
    </row>
    <row r="34" spans="1:15" x14ac:dyDescent="0.35">
      <c r="A34" t="s">
        <v>86</v>
      </c>
      <c r="B34" s="1" t="d">
        <v>2025-02-04</v>
      </c>
      <c r="C34" t="s">
        <v>49</v>
      </c>
      <c r="D34" t="s">
        <v>50</v>
      </c>
      <c r="E34">
        <v>15</v>
      </c>
      <c r="F34">
        <v>1</v>
      </c>
      <c r="G34">
        <v>15</v>
      </c>
      <c r="H34" t="s">
        <v>29</v>
      </c>
      <c r="I34" t="s">
        <v>15</v>
      </c>
      <c r="J34" t="s">
        <v>16</v>
      </c>
      <c r="K34" t="s">
        <v>17</v>
      </c>
      <c r="L34" t="str">
        <f t="shared" si="1"/>
        <v>OK</v>
      </c>
      <c r="M34" t="str">
        <f t="shared" si="2"/>
        <v>Feb</v>
      </c>
      <c r="N34" t="str">
        <f t="shared" si="0"/>
        <v>Tuesday</v>
      </c>
      <c r="O34" t="str">
        <f t="shared" si="3"/>
        <v>Cancelled</v>
      </c>
    </row>
    <row r="35" spans="1:15" x14ac:dyDescent="0.35">
      <c r="A35" t="s">
        <v>87</v>
      </c>
      <c r="B35" s="1" t="d">
        <v>2025-04-02</v>
      </c>
      <c r="C35" t="s">
        <v>35</v>
      </c>
      <c r="D35" t="s">
        <v>36</v>
      </c>
      <c r="E35">
        <v>20</v>
      </c>
      <c r="F35">
        <v>5</v>
      </c>
      <c r="G35">
        <v>100</v>
      </c>
      <c r="H35" t="s">
        <v>80</v>
      </c>
      <c r="I35" t="s">
        <v>15</v>
      </c>
      <c r="J35" t="s">
        <v>31</v>
      </c>
      <c r="K35" t="s">
        <v>23</v>
      </c>
      <c r="L35" t="str">
        <f t="shared" si="1"/>
        <v>OK</v>
      </c>
      <c r="M35" t="str">
        <f t="shared" si="2"/>
        <v>Apr</v>
      </c>
      <c r="N35" t="str">
        <f t="shared" si="0"/>
        <v>Wednesday</v>
      </c>
      <c r="O35" t="str">
        <f t="shared" si="3"/>
        <v>Pending</v>
      </c>
    </row>
    <row r="36" spans="1:15" x14ac:dyDescent="0.35">
      <c r="A36" t="s">
        <v>88</v>
      </c>
      <c r="B36" s="1" t="d">
        <v>2025-04-02</v>
      </c>
      <c r="C36" t="s">
        <v>56</v>
      </c>
      <c r="D36" t="s">
        <v>20</v>
      </c>
      <c r="E36">
        <v>800</v>
      </c>
      <c r="F36">
        <v>3</v>
      </c>
      <c r="G36">
        <v>2400</v>
      </c>
      <c r="H36" t="s">
        <v>14</v>
      </c>
      <c r="I36" t="s">
        <v>26</v>
      </c>
      <c r="J36" t="s">
        <v>27</v>
      </c>
      <c r="K36" t="s">
        <v>40</v>
      </c>
      <c r="L36" t="str">
        <f t="shared" si="1"/>
        <v>OK</v>
      </c>
      <c r="M36" t="str">
        <f t="shared" si="2"/>
        <v>Apr</v>
      </c>
      <c r="N36" t="str">
        <f t="shared" si="0"/>
        <v>Wednesday</v>
      </c>
      <c r="O36" t="str">
        <f t="shared" si="3"/>
        <v>Delivered</v>
      </c>
    </row>
    <row r="37" spans="1:15" x14ac:dyDescent="0.35">
      <c r="A37" t="s">
        <v>89</v>
      </c>
      <c r="B37" s="1" t="d">
        <v>2025-02-09</v>
      </c>
      <c r="C37" t="s">
        <v>65</v>
      </c>
      <c r="D37" t="s">
        <v>61</v>
      </c>
      <c r="E37">
        <v>1200</v>
      </c>
      <c r="F37">
        <v>2</v>
      </c>
      <c r="G37">
        <v>2400</v>
      </c>
      <c r="H37" t="s">
        <v>43</v>
      </c>
      <c r="I37" t="s">
        <v>46</v>
      </c>
      <c r="J37" t="s">
        <v>39</v>
      </c>
      <c r="K37" t="s">
        <v>17</v>
      </c>
      <c r="L37" t="str">
        <f t="shared" si="1"/>
        <v>OK</v>
      </c>
      <c r="M37" t="str">
        <f t="shared" si="2"/>
        <v>Feb</v>
      </c>
      <c r="N37" t="str">
        <f t="shared" si="0"/>
        <v>Sunday</v>
      </c>
      <c r="O37" t="str">
        <f t="shared" si="3"/>
        <v>Cancelled</v>
      </c>
    </row>
    <row r="38" spans="1:15" x14ac:dyDescent="0.35">
      <c r="A38" t="s">
        <v>90</v>
      </c>
      <c r="B38" s="1" t="d">
        <v>2025-02-16</v>
      </c>
      <c r="C38" t="s">
        <v>19</v>
      </c>
      <c r="D38" t="s">
        <v>20</v>
      </c>
      <c r="E38">
        <v>100</v>
      </c>
      <c r="F38">
        <v>3</v>
      </c>
      <c r="G38">
        <v>300</v>
      </c>
      <c r="H38" t="s">
        <v>54</v>
      </c>
      <c r="I38" t="s">
        <v>15</v>
      </c>
      <c r="J38" t="s">
        <v>16</v>
      </c>
      <c r="K38" t="s">
        <v>17</v>
      </c>
      <c r="L38" t="str">
        <f t="shared" si="1"/>
        <v>OK</v>
      </c>
      <c r="M38" t="str">
        <f t="shared" si="2"/>
        <v>Feb</v>
      </c>
      <c r="N38" t="str">
        <f t="shared" si="0"/>
        <v>Sunday</v>
      </c>
      <c r="O38" t="str">
        <f t="shared" si="3"/>
        <v>Cancelled</v>
      </c>
    </row>
    <row r="39" spans="1:15" x14ac:dyDescent="0.35">
      <c r="A39" t="s">
        <v>91</v>
      </c>
      <c r="B39" s="1" t="d">
        <v>2025-03-26</v>
      </c>
      <c r="C39" t="s">
        <v>56</v>
      </c>
      <c r="D39" t="s">
        <v>20</v>
      </c>
      <c r="E39">
        <v>800</v>
      </c>
      <c r="F39">
        <v>3</v>
      </c>
      <c r="G39">
        <v>2400</v>
      </c>
      <c r="H39" t="s">
        <v>29</v>
      </c>
      <c r="I39" t="s">
        <v>81</v>
      </c>
      <c r="J39" t="s">
        <v>27</v>
      </c>
      <c r="K39" t="s">
        <v>40</v>
      </c>
      <c r="L39" t="str">
        <f t="shared" si="1"/>
        <v>OK</v>
      </c>
      <c r="M39" t="str">
        <f t="shared" si="2"/>
        <v>Mar</v>
      </c>
      <c r="N39" t="str">
        <f t="shared" si="0"/>
        <v>Wednesday</v>
      </c>
      <c r="O39" t="str">
        <f t="shared" si="3"/>
        <v>Delivered</v>
      </c>
    </row>
    <row r="40" spans="1:15" x14ac:dyDescent="0.35">
      <c r="A40" t="s">
        <v>92</v>
      </c>
      <c r="B40" s="1" t="d">
        <v>2025-03-02</v>
      </c>
      <c r="C40" t="s">
        <v>56</v>
      </c>
      <c r="D40" t="s">
        <v>20</v>
      </c>
      <c r="E40">
        <v>800</v>
      </c>
      <c r="F40">
        <v>2</v>
      </c>
      <c r="G40">
        <v>1600</v>
      </c>
      <c r="H40" t="s">
        <v>29</v>
      </c>
      <c r="I40" t="s">
        <v>22</v>
      </c>
      <c r="J40" t="s">
        <v>39</v>
      </c>
      <c r="K40" t="s">
        <v>40</v>
      </c>
      <c r="L40" t="str">
        <f t="shared" si="1"/>
        <v>OK</v>
      </c>
      <c r="M40" t="str">
        <f t="shared" si="2"/>
        <v>Mar</v>
      </c>
      <c r="N40" t="str">
        <f t="shared" si="0"/>
        <v>Sunday</v>
      </c>
      <c r="O40" t="str">
        <f t="shared" si="3"/>
        <v>Delivered</v>
      </c>
    </row>
    <row r="41" spans="1:15" x14ac:dyDescent="0.35">
      <c r="A41" t="s">
        <v>93</v>
      </c>
      <c r="B41" s="1" t="d">
        <v>2025-03-26</v>
      </c>
      <c r="C41" t="s">
        <v>33</v>
      </c>
      <c r="D41" t="s">
        <v>20</v>
      </c>
      <c r="E41">
        <v>150</v>
      </c>
      <c r="F41">
        <v>1</v>
      </c>
      <c r="G41">
        <v>150</v>
      </c>
      <c r="H41" t="s">
        <v>21</v>
      </c>
      <c r="I41" t="s">
        <v>63</v>
      </c>
      <c r="J41" t="s">
        <v>58</v>
      </c>
      <c r="K41" t="s">
        <v>23</v>
      </c>
      <c r="L41" t="str">
        <f t="shared" si="1"/>
        <v>OK</v>
      </c>
      <c r="M41" t="str">
        <f t="shared" si="2"/>
        <v>Mar</v>
      </c>
      <c r="N41" t="str">
        <f t="shared" si="0"/>
        <v>Wednesday</v>
      </c>
      <c r="O41" t="str">
        <f t="shared" si="3"/>
        <v>Pending</v>
      </c>
    </row>
    <row r="42" spans="1:15" x14ac:dyDescent="0.35">
      <c r="A42" t="s">
        <v>94</v>
      </c>
      <c r="B42" s="1" t="d">
        <v>2025-02-20</v>
      </c>
      <c r="C42" t="s">
        <v>49</v>
      </c>
      <c r="D42" t="s">
        <v>50</v>
      </c>
      <c r="E42">
        <v>15</v>
      </c>
      <c r="F42">
        <v>1</v>
      </c>
      <c r="G42">
        <v>15</v>
      </c>
      <c r="H42" t="s">
        <v>80</v>
      </c>
      <c r="I42" t="s">
        <v>44</v>
      </c>
      <c r="J42" t="s">
        <v>31</v>
      </c>
      <c r="K42" t="s">
        <v>17</v>
      </c>
      <c r="L42" t="str">
        <f t="shared" si="1"/>
        <v>OK</v>
      </c>
      <c r="M42" t="str">
        <f t="shared" si="2"/>
        <v>Feb</v>
      </c>
      <c r="N42" t="str">
        <f t="shared" si="0"/>
        <v>Thursday</v>
      </c>
      <c r="O42" t="str">
        <f t="shared" si="3"/>
        <v>Cancelled</v>
      </c>
    </row>
    <row r="43" spans="1:15" x14ac:dyDescent="0.35">
      <c r="A43" t="s">
        <v>95</v>
      </c>
      <c r="B43" s="1" t="d">
        <v>2025-03-17</v>
      </c>
      <c r="C43" t="s">
        <v>19</v>
      </c>
      <c r="D43" t="s">
        <v>20</v>
      </c>
      <c r="E43">
        <v>100</v>
      </c>
      <c r="F43">
        <v>3</v>
      </c>
      <c r="G43">
        <v>300</v>
      </c>
      <c r="H43" t="s">
        <v>80</v>
      </c>
      <c r="I43" t="s">
        <v>81</v>
      </c>
      <c r="J43" t="s">
        <v>27</v>
      </c>
      <c r="K43" t="s">
        <v>17</v>
      </c>
      <c r="L43" t="str">
        <f t="shared" si="1"/>
        <v>OK</v>
      </c>
      <c r="M43" t="str">
        <f t="shared" si="2"/>
        <v>Mar</v>
      </c>
      <c r="N43" t="str">
        <f t="shared" si="0"/>
        <v>Monday</v>
      </c>
      <c r="O43" t="str">
        <f t="shared" si="3"/>
        <v>Cancelled</v>
      </c>
    </row>
    <row r="44" spans="1:15" x14ac:dyDescent="0.35">
      <c r="A44" t="s">
        <v>96</v>
      </c>
      <c r="B44" s="1" t="d">
        <v>2025-02-08</v>
      </c>
      <c r="C44" t="s">
        <v>35</v>
      </c>
      <c r="D44" t="s">
        <v>36</v>
      </c>
      <c r="E44">
        <v>20</v>
      </c>
      <c r="F44">
        <v>4</v>
      </c>
      <c r="G44">
        <v>80</v>
      </c>
      <c r="H44" t="s">
        <v>80</v>
      </c>
      <c r="I44" t="s">
        <v>26</v>
      </c>
      <c r="J44" t="s">
        <v>31</v>
      </c>
      <c r="K44" t="s">
        <v>23</v>
      </c>
      <c r="L44" t="str">
        <f t="shared" si="1"/>
        <v>OK</v>
      </c>
      <c r="M44" t="str">
        <f t="shared" si="2"/>
        <v>Feb</v>
      </c>
      <c r="N44" t="str">
        <f t="shared" si="0"/>
        <v>Saturday</v>
      </c>
      <c r="O44" t="str">
        <f t="shared" si="3"/>
        <v>Pending</v>
      </c>
    </row>
    <row r="45" spans="1:15" x14ac:dyDescent="0.35">
      <c r="A45" t="s">
        <v>97</v>
      </c>
      <c r="B45" s="1" t="d">
        <v>2025-03-24</v>
      </c>
      <c r="C45" t="s">
        <v>33</v>
      </c>
      <c r="D45" t="s">
        <v>20</v>
      </c>
      <c r="E45">
        <v>150</v>
      </c>
      <c r="F45">
        <v>1</v>
      </c>
      <c r="G45">
        <v>150</v>
      </c>
      <c r="H45" t="s">
        <v>72</v>
      </c>
      <c r="I45" t="s">
        <v>38</v>
      </c>
      <c r="J45" t="s">
        <v>16</v>
      </c>
      <c r="K45" t="s">
        <v>23</v>
      </c>
      <c r="L45" t="str">
        <f t="shared" si="1"/>
        <v>OK</v>
      </c>
      <c r="M45" t="str">
        <f t="shared" si="2"/>
        <v>Mar</v>
      </c>
      <c r="N45" t="str">
        <f t="shared" si="0"/>
        <v>Monday</v>
      </c>
      <c r="O45" t="str">
        <f t="shared" si="3"/>
        <v>Pending</v>
      </c>
    </row>
    <row r="46" spans="1:15" x14ac:dyDescent="0.35">
      <c r="A46" t="s">
        <v>98</v>
      </c>
      <c r="B46" s="1" t="d">
        <v>2025-03-15</v>
      </c>
      <c r="C46" t="s">
        <v>65</v>
      </c>
      <c r="D46" t="s">
        <v>61</v>
      </c>
      <c r="E46">
        <v>1200</v>
      </c>
      <c r="F46">
        <v>3</v>
      </c>
      <c r="G46">
        <v>3600</v>
      </c>
      <c r="H46" t="s">
        <v>57</v>
      </c>
      <c r="I46" t="s">
        <v>15</v>
      </c>
      <c r="J46" t="s">
        <v>31</v>
      </c>
      <c r="K46" t="s">
        <v>23</v>
      </c>
      <c r="L46" t="str">
        <f t="shared" si="1"/>
        <v>OK</v>
      </c>
      <c r="M46" t="str">
        <f t="shared" si="2"/>
        <v>Mar</v>
      </c>
      <c r="N46" t="str">
        <f t="shared" si="0"/>
        <v>Saturday</v>
      </c>
      <c r="O46" t="str">
        <f t="shared" si="3"/>
        <v>Pending</v>
      </c>
    </row>
    <row r="47" spans="1:15" x14ac:dyDescent="0.35">
      <c r="A47" t="s">
        <v>99</v>
      </c>
      <c r="B47" s="1" t="d">
        <v>2025-03-06</v>
      </c>
      <c r="C47" t="s">
        <v>12</v>
      </c>
      <c r="D47" t="s">
        <v>13</v>
      </c>
      <c r="E47">
        <v>60</v>
      </c>
      <c r="F47">
        <v>2</v>
      </c>
      <c r="G47">
        <v>120</v>
      </c>
      <c r="H47" t="s">
        <v>51</v>
      </c>
      <c r="I47" t="s">
        <v>38</v>
      </c>
      <c r="J47" t="s">
        <v>16</v>
      </c>
      <c r="K47" t="s">
        <v>17</v>
      </c>
      <c r="L47" t="str">
        <f t="shared" si="1"/>
        <v>OK</v>
      </c>
      <c r="M47" t="str">
        <f t="shared" si="2"/>
        <v>Mar</v>
      </c>
      <c r="N47" t="str">
        <f t="shared" si="0"/>
        <v>Thursday</v>
      </c>
      <c r="O47" t="str">
        <f t="shared" si="3"/>
        <v>Cancelled</v>
      </c>
    </row>
    <row r="48" spans="1:15" x14ac:dyDescent="0.35">
      <c r="A48" t="s">
        <v>100</v>
      </c>
      <c r="B48" s="1" t="d">
        <v>2025-03-26</v>
      </c>
      <c r="C48" t="s">
        <v>35</v>
      </c>
      <c r="D48" t="s">
        <v>36</v>
      </c>
      <c r="E48">
        <v>20</v>
      </c>
      <c r="F48">
        <v>2</v>
      </c>
      <c r="G48">
        <v>40</v>
      </c>
      <c r="H48" t="s">
        <v>72</v>
      </c>
      <c r="I48" t="s">
        <v>44</v>
      </c>
      <c r="J48" t="s">
        <v>58</v>
      </c>
      <c r="K48" t="s">
        <v>17</v>
      </c>
      <c r="L48" t="str">
        <f t="shared" si="1"/>
        <v>OK</v>
      </c>
      <c r="M48" t="str">
        <f t="shared" si="2"/>
        <v>Mar</v>
      </c>
      <c r="N48" t="str">
        <f t="shared" si="0"/>
        <v>Wednesday</v>
      </c>
      <c r="O48" t="str">
        <f t="shared" si="3"/>
        <v>Cancelled</v>
      </c>
    </row>
    <row r="49" spans="1:15" x14ac:dyDescent="0.35">
      <c r="A49" t="s">
        <v>101</v>
      </c>
      <c r="B49" s="1" t="d">
        <v>2025-02-11</v>
      </c>
      <c r="C49" t="s">
        <v>35</v>
      </c>
      <c r="D49" t="s">
        <v>36</v>
      </c>
      <c r="E49">
        <v>20</v>
      </c>
      <c r="F49">
        <v>5</v>
      </c>
      <c r="G49">
        <v>100</v>
      </c>
      <c r="H49" t="s">
        <v>80</v>
      </c>
      <c r="I49" t="s">
        <v>26</v>
      </c>
      <c r="J49" t="s">
        <v>27</v>
      </c>
      <c r="K49" t="s">
        <v>40</v>
      </c>
      <c r="L49" t="str">
        <f t="shared" si="1"/>
        <v>OK</v>
      </c>
      <c r="M49" t="str">
        <f t="shared" si="2"/>
        <v>Feb</v>
      </c>
      <c r="N49" t="str">
        <f t="shared" si="0"/>
        <v>Tuesday</v>
      </c>
      <c r="O49" t="str">
        <f t="shared" si="3"/>
        <v>Delivered</v>
      </c>
    </row>
    <row r="50" spans="1:15" x14ac:dyDescent="0.35">
      <c r="A50" t="s">
        <v>102</v>
      </c>
      <c r="B50" s="1" t="d">
        <v>2025-02-18</v>
      </c>
      <c r="C50" t="s">
        <v>42</v>
      </c>
      <c r="D50" t="s">
        <v>20</v>
      </c>
      <c r="E50">
        <v>500</v>
      </c>
      <c r="F50">
        <v>4</v>
      </c>
      <c r="G50">
        <v>2000</v>
      </c>
      <c r="H50" t="s">
        <v>14</v>
      </c>
      <c r="I50" t="s">
        <v>81</v>
      </c>
      <c r="J50" t="s">
        <v>16</v>
      </c>
      <c r="K50" t="s">
        <v>40</v>
      </c>
      <c r="L50" t="str">
        <f t="shared" si="1"/>
        <v>OK</v>
      </c>
      <c r="M50" t="str">
        <f t="shared" si="2"/>
        <v>Feb</v>
      </c>
      <c r="N50" t="str">
        <f t="shared" si="0"/>
        <v>Tuesday</v>
      </c>
      <c r="O50" t="str">
        <f t="shared" si="3"/>
        <v>Delivered</v>
      </c>
    </row>
    <row r="51" spans="1:15" x14ac:dyDescent="0.35">
      <c r="A51" t="s">
        <v>103</v>
      </c>
      <c r="B51" s="1" t="d">
        <v>2025-03-14</v>
      </c>
      <c r="C51" t="s">
        <v>53</v>
      </c>
      <c r="D51" t="s">
        <v>36</v>
      </c>
      <c r="E51">
        <v>40</v>
      </c>
      <c r="F51">
        <v>3</v>
      </c>
      <c r="G51">
        <v>120</v>
      </c>
      <c r="H51" t="s">
        <v>25</v>
      </c>
      <c r="I51" t="s">
        <v>46</v>
      </c>
      <c r="J51" t="s">
        <v>58</v>
      </c>
      <c r="K51" t="s">
        <v>40</v>
      </c>
      <c r="L51" t="str">
        <f t="shared" si="1"/>
        <v>OK</v>
      </c>
      <c r="M51" t="str">
        <f t="shared" si="2"/>
        <v>Mar</v>
      </c>
      <c r="N51" t="str">
        <f t="shared" si="0"/>
        <v>Friday</v>
      </c>
      <c r="O51" t="str">
        <f t="shared" si="3"/>
        <v>Delivered</v>
      </c>
    </row>
    <row r="52" spans="1:15" x14ac:dyDescent="0.35">
      <c r="A52" t="s">
        <v>104</v>
      </c>
      <c r="B52" s="1" t="d">
        <v>2025-02-19</v>
      </c>
      <c r="C52" t="s">
        <v>49</v>
      </c>
      <c r="D52" t="s">
        <v>50</v>
      </c>
      <c r="E52">
        <v>15</v>
      </c>
      <c r="F52">
        <v>1</v>
      </c>
      <c r="G52">
        <v>15</v>
      </c>
      <c r="H52" t="s">
        <v>14</v>
      </c>
      <c r="I52" t="s">
        <v>38</v>
      </c>
      <c r="J52" t="s">
        <v>58</v>
      </c>
      <c r="K52" t="s">
        <v>17</v>
      </c>
      <c r="L52" t="str">
        <f t="shared" si="1"/>
        <v>OK</v>
      </c>
      <c r="M52" t="str">
        <f t="shared" si="2"/>
        <v>Feb</v>
      </c>
      <c r="N52" t="str">
        <f t="shared" si="0"/>
        <v>Wednesday</v>
      </c>
      <c r="O52" t="str">
        <f t="shared" si="3"/>
        <v>Cancelled</v>
      </c>
    </row>
    <row r="53" spans="1:15" x14ac:dyDescent="0.35">
      <c r="A53" t="s">
        <v>105</v>
      </c>
      <c r="B53" s="1" t="d">
        <v>2025-02-24</v>
      </c>
      <c r="C53" t="s">
        <v>56</v>
      </c>
      <c r="D53" t="s">
        <v>20</v>
      </c>
      <c r="E53">
        <v>800</v>
      </c>
      <c r="F53">
        <v>3</v>
      </c>
      <c r="G53">
        <v>2400</v>
      </c>
      <c r="H53" t="s">
        <v>25</v>
      </c>
      <c r="I53" t="s">
        <v>22</v>
      </c>
      <c r="J53" t="s">
        <v>31</v>
      </c>
      <c r="K53" t="s">
        <v>23</v>
      </c>
      <c r="L53" t="str">
        <f t="shared" si="1"/>
        <v>OK</v>
      </c>
      <c r="M53" t="str">
        <f t="shared" si="2"/>
        <v>Feb</v>
      </c>
      <c r="N53" t="str">
        <f t="shared" si="0"/>
        <v>Monday</v>
      </c>
      <c r="O53" t="str">
        <f t="shared" si="3"/>
        <v>Pending</v>
      </c>
    </row>
    <row r="54" spans="1:15" x14ac:dyDescent="0.35">
      <c r="A54" t="s">
        <v>106</v>
      </c>
      <c r="B54" s="1" t="d">
        <v>2025-03-24</v>
      </c>
      <c r="C54" t="s">
        <v>12</v>
      </c>
      <c r="D54" t="s">
        <v>13</v>
      </c>
      <c r="E54">
        <v>60</v>
      </c>
      <c r="F54">
        <v>4</v>
      </c>
      <c r="G54">
        <v>240</v>
      </c>
      <c r="H54" t="s">
        <v>21</v>
      </c>
      <c r="I54" t="s">
        <v>68</v>
      </c>
      <c r="J54" t="s">
        <v>39</v>
      </c>
      <c r="K54" t="s">
        <v>40</v>
      </c>
      <c r="L54" t="str">
        <f t="shared" si="1"/>
        <v>OK</v>
      </c>
      <c r="M54" t="str">
        <f t="shared" si="2"/>
        <v>Mar</v>
      </c>
      <c r="N54" t="str">
        <f t="shared" si="0"/>
        <v>Monday</v>
      </c>
      <c r="O54" t="str">
        <f t="shared" si="3"/>
        <v>Delivered</v>
      </c>
    </row>
    <row r="55" spans="1:15" x14ac:dyDescent="0.35">
      <c r="A55" t="s">
        <v>107</v>
      </c>
      <c r="B55" s="1" t="d">
        <v>2025-03-15</v>
      </c>
      <c r="C55" t="s">
        <v>33</v>
      </c>
      <c r="D55" t="s">
        <v>20</v>
      </c>
      <c r="E55">
        <v>150</v>
      </c>
      <c r="F55">
        <v>3</v>
      </c>
      <c r="G55">
        <v>450</v>
      </c>
      <c r="H55" t="s">
        <v>51</v>
      </c>
      <c r="I55" t="s">
        <v>46</v>
      </c>
      <c r="J55" t="s">
        <v>58</v>
      </c>
      <c r="K55" t="s">
        <v>23</v>
      </c>
      <c r="L55" t="str">
        <f t="shared" si="1"/>
        <v>OK</v>
      </c>
      <c r="M55" t="str">
        <f t="shared" si="2"/>
        <v>Mar</v>
      </c>
      <c r="N55" t="str">
        <f t="shared" si="0"/>
        <v>Saturday</v>
      </c>
      <c r="O55" t="str">
        <f t="shared" si="3"/>
        <v>Pending</v>
      </c>
    </row>
    <row r="56" spans="1:15" x14ac:dyDescent="0.35">
      <c r="A56" t="s">
        <v>108</v>
      </c>
      <c r="B56" s="1" t="d">
        <v>2025-03-15</v>
      </c>
      <c r="C56" t="s">
        <v>53</v>
      </c>
      <c r="D56" t="s">
        <v>36</v>
      </c>
      <c r="E56">
        <v>40</v>
      </c>
      <c r="F56">
        <v>2</v>
      </c>
      <c r="G56">
        <v>80</v>
      </c>
      <c r="H56" t="s">
        <v>43</v>
      </c>
      <c r="I56" t="s">
        <v>30</v>
      </c>
      <c r="J56" t="s">
        <v>39</v>
      </c>
      <c r="K56" t="s">
        <v>40</v>
      </c>
      <c r="L56" t="str">
        <f t="shared" si="1"/>
        <v>OK</v>
      </c>
      <c r="M56" t="str">
        <f t="shared" si="2"/>
        <v>Mar</v>
      </c>
      <c r="N56" t="str">
        <f t="shared" si="0"/>
        <v>Saturday</v>
      </c>
      <c r="O56" t="str">
        <f t="shared" si="3"/>
        <v>Delivered</v>
      </c>
    </row>
    <row r="57" spans="1:15" x14ac:dyDescent="0.35">
      <c r="A57" t="s">
        <v>109</v>
      </c>
      <c r="B57" s="1" t="d">
        <v>2025-03-19</v>
      </c>
      <c r="C57" t="s">
        <v>33</v>
      </c>
      <c r="D57" t="s">
        <v>20</v>
      </c>
      <c r="E57">
        <v>150</v>
      </c>
      <c r="F57">
        <v>2</v>
      </c>
      <c r="G57">
        <v>300</v>
      </c>
      <c r="H57" t="s">
        <v>14</v>
      </c>
      <c r="I57" t="s">
        <v>30</v>
      </c>
      <c r="J57" t="s">
        <v>31</v>
      </c>
      <c r="K57" t="s">
        <v>40</v>
      </c>
      <c r="L57" t="str">
        <f t="shared" si="1"/>
        <v>OK</v>
      </c>
      <c r="M57" t="str">
        <f t="shared" si="2"/>
        <v>Mar</v>
      </c>
      <c r="N57" t="str">
        <f t="shared" si="0"/>
        <v>Wednesday</v>
      </c>
      <c r="O57" t="str">
        <f t="shared" si="3"/>
        <v>Delivered</v>
      </c>
    </row>
    <row r="58" spans="1:15" x14ac:dyDescent="0.35">
      <c r="A58" t="s">
        <v>110</v>
      </c>
      <c r="B58" s="1" t="d">
        <v>2025-03-15</v>
      </c>
      <c r="C58" t="s">
        <v>42</v>
      </c>
      <c r="D58" t="s">
        <v>20</v>
      </c>
      <c r="E58">
        <v>500</v>
      </c>
      <c r="F58">
        <v>1</v>
      </c>
      <c r="G58">
        <v>500</v>
      </c>
      <c r="H58" t="s">
        <v>80</v>
      </c>
      <c r="I58" t="s">
        <v>68</v>
      </c>
      <c r="J58" t="s">
        <v>16</v>
      </c>
      <c r="K58" t="s">
        <v>17</v>
      </c>
      <c r="L58" t="str">
        <f t="shared" si="1"/>
        <v>OK</v>
      </c>
      <c r="M58" t="str">
        <f t="shared" si="2"/>
        <v>Mar</v>
      </c>
      <c r="N58" t="str">
        <f t="shared" si="0"/>
        <v>Saturday</v>
      </c>
      <c r="O58" t="str">
        <f t="shared" si="3"/>
        <v>Cancelled</v>
      </c>
    </row>
    <row r="59" spans="1:15" x14ac:dyDescent="0.35">
      <c r="A59" t="s">
        <v>111</v>
      </c>
      <c r="B59" s="1" t="d">
        <v>2025-03-13</v>
      </c>
      <c r="C59" t="s">
        <v>42</v>
      </c>
      <c r="D59" t="s">
        <v>20</v>
      </c>
      <c r="E59">
        <v>500</v>
      </c>
      <c r="F59">
        <v>1</v>
      </c>
      <c r="G59">
        <v>500</v>
      </c>
      <c r="H59" t="s">
        <v>80</v>
      </c>
      <c r="I59" t="s">
        <v>81</v>
      </c>
      <c r="J59" t="s">
        <v>39</v>
      </c>
      <c r="K59" t="s">
        <v>17</v>
      </c>
      <c r="L59" t="str">
        <f t="shared" si="1"/>
        <v>OK</v>
      </c>
      <c r="M59" t="str">
        <f t="shared" si="2"/>
        <v>Mar</v>
      </c>
      <c r="N59" t="str">
        <f t="shared" si="0"/>
        <v>Thursday</v>
      </c>
      <c r="O59" t="str">
        <f t="shared" si="3"/>
        <v>Cancelled</v>
      </c>
    </row>
    <row r="60" spans="1:15" x14ac:dyDescent="0.35">
      <c r="A60" t="s">
        <v>112</v>
      </c>
      <c r="B60" s="1" t="d">
        <v>2025-04-01</v>
      </c>
      <c r="C60" t="s">
        <v>33</v>
      </c>
      <c r="D60" t="s">
        <v>20</v>
      </c>
      <c r="E60">
        <v>150</v>
      </c>
      <c r="F60">
        <v>2</v>
      </c>
      <c r="G60">
        <v>300</v>
      </c>
      <c r="H60" t="s">
        <v>57</v>
      </c>
      <c r="I60" t="s">
        <v>30</v>
      </c>
      <c r="J60" t="s">
        <v>31</v>
      </c>
      <c r="K60" t="s">
        <v>17</v>
      </c>
      <c r="L60" t="str">
        <f t="shared" si="1"/>
        <v>OK</v>
      </c>
      <c r="M60" t="str">
        <f t="shared" si="2"/>
        <v>Apr</v>
      </c>
      <c r="N60" t="str">
        <f t="shared" si="0"/>
        <v>Tuesday</v>
      </c>
      <c r="O60" t="str">
        <f t="shared" si="3"/>
        <v>Cancelled</v>
      </c>
    </row>
    <row r="61" spans="1:15" x14ac:dyDescent="0.35">
      <c r="A61" t="s">
        <v>113</v>
      </c>
      <c r="B61" s="1" t="d">
        <v>2025-03-12</v>
      </c>
      <c r="C61" t="s">
        <v>49</v>
      </c>
      <c r="D61" t="s">
        <v>50</v>
      </c>
      <c r="E61">
        <v>15</v>
      </c>
      <c r="F61">
        <v>5</v>
      </c>
      <c r="G61">
        <v>75</v>
      </c>
      <c r="H61" t="s">
        <v>80</v>
      </c>
      <c r="I61" t="s">
        <v>30</v>
      </c>
      <c r="J61" t="s">
        <v>31</v>
      </c>
      <c r="K61" t="s">
        <v>23</v>
      </c>
      <c r="L61" t="str">
        <f t="shared" si="1"/>
        <v>OK</v>
      </c>
      <c r="M61" t="str">
        <f t="shared" si="2"/>
        <v>Mar</v>
      </c>
      <c r="N61" t="str">
        <f t="shared" si="0"/>
        <v>Wednesday</v>
      </c>
      <c r="O61" t="str">
        <f t="shared" si="3"/>
        <v>Pending</v>
      </c>
    </row>
    <row r="62" spans="1:15" x14ac:dyDescent="0.35">
      <c r="A62" t="s">
        <v>114</v>
      </c>
      <c r="B62" s="1" t="d">
        <v>2025-03-11</v>
      </c>
      <c r="C62" t="s">
        <v>65</v>
      </c>
      <c r="D62" t="s">
        <v>61</v>
      </c>
      <c r="E62">
        <v>1200</v>
      </c>
      <c r="F62">
        <v>1</v>
      </c>
      <c r="G62">
        <v>1200</v>
      </c>
      <c r="H62" t="s">
        <v>80</v>
      </c>
      <c r="I62" t="s">
        <v>15</v>
      </c>
      <c r="J62" t="s">
        <v>39</v>
      </c>
      <c r="K62" t="s">
        <v>17</v>
      </c>
      <c r="L62" t="str">
        <f t="shared" si="1"/>
        <v>OK</v>
      </c>
      <c r="M62" t="str">
        <f t="shared" si="2"/>
        <v>Mar</v>
      </c>
      <c r="N62" t="str">
        <f t="shared" si="0"/>
        <v>Tuesday</v>
      </c>
      <c r="O62" t="str">
        <f t="shared" si="3"/>
        <v>Cancelled</v>
      </c>
    </row>
    <row r="63" spans="1:15" x14ac:dyDescent="0.35">
      <c r="A63" t="s">
        <v>115</v>
      </c>
      <c r="B63" s="1" t="d">
        <v>2025-02-10</v>
      </c>
      <c r="C63" t="s">
        <v>56</v>
      </c>
      <c r="D63" t="s">
        <v>20</v>
      </c>
      <c r="E63">
        <v>800</v>
      </c>
      <c r="F63">
        <v>5</v>
      </c>
      <c r="G63">
        <v>4000</v>
      </c>
      <c r="H63" t="s">
        <v>29</v>
      </c>
      <c r="I63" t="s">
        <v>22</v>
      </c>
      <c r="J63" t="s">
        <v>39</v>
      </c>
      <c r="K63" t="s">
        <v>40</v>
      </c>
      <c r="L63" t="str">
        <f t="shared" si="1"/>
        <v>OK</v>
      </c>
      <c r="M63" t="str">
        <f t="shared" si="2"/>
        <v>Feb</v>
      </c>
      <c r="N63" t="str">
        <f t="shared" si="0"/>
        <v>Monday</v>
      </c>
      <c r="O63" t="str">
        <f t="shared" si="3"/>
        <v>Delivered</v>
      </c>
    </row>
    <row r="64" spans="1:15" x14ac:dyDescent="0.35">
      <c r="A64" t="s">
        <v>116</v>
      </c>
      <c r="B64" s="1" t="d">
        <v>2025-03-30</v>
      </c>
      <c r="C64" t="s">
        <v>42</v>
      </c>
      <c r="D64" t="s">
        <v>20</v>
      </c>
      <c r="E64">
        <v>500</v>
      </c>
      <c r="F64">
        <v>5</v>
      </c>
      <c r="G64">
        <v>2500</v>
      </c>
      <c r="H64" t="s">
        <v>14</v>
      </c>
      <c r="I64" t="s">
        <v>44</v>
      </c>
      <c r="J64" t="s">
        <v>58</v>
      </c>
      <c r="K64" t="s">
        <v>40</v>
      </c>
      <c r="L64" t="str">
        <f t="shared" si="1"/>
        <v>OK</v>
      </c>
      <c r="M64" t="str">
        <f t="shared" si="2"/>
        <v>Mar</v>
      </c>
      <c r="N64" t="str">
        <f t="shared" si="0"/>
        <v>Sunday</v>
      </c>
      <c r="O64" t="str">
        <f t="shared" si="3"/>
        <v>Delivered</v>
      </c>
    </row>
    <row r="65" spans="1:15" x14ac:dyDescent="0.35">
      <c r="A65" t="s">
        <v>117</v>
      </c>
      <c r="B65" s="1" t="d">
        <v>2025-02-13</v>
      </c>
      <c r="C65" t="s">
        <v>65</v>
      </c>
      <c r="D65" t="s">
        <v>61</v>
      </c>
      <c r="E65">
        <v>1200</v>
      </c>
      <c r="F65">
        <v>4</v>
      </c>
      <c r="G65">
        <v>4800</v>
      </c>
      <c r="H65" t="s">
        <v>21</v>
      </c>
      <c r="I65" t="s">
        <v>26</v>
      </c>
      <c r="J65" t="s">
        <v>39</v>
      </c>
      <c r="K65" t="s">
        <v>23</v>
      </c>
      <c r="L65" t="str">
        <f t="shared" si="1"/>
        <v>OK</v>
      </c>
      <c r="M65" t="str">
        <f t="shared" si="2"/>
        <v>Feb</v>
      </c>
      <c r="N65" t="str">
        <f t="shared" si="0"/>
        <v>Thursday</v>
      </c>
      <c r="O65" t="str">
        <f t="shared" si="3"/>
        <v>Pending</v>
      </c>
    </row>
    <row r="66" spans="1:15" x14ac:dyDescent="0.35">
      <c r="A66" t="s">
        <v>118</v>
      </c>
      <c r="B66" s="1" t="d">
        <v>2025-03-16</v>
      </c>
      <c r="C66" t="s">
        <v>49</v>
      </c>
      <c r="D66" t="s">
        <v>50</v>
      </c>
      <c r="E66">
        <v>15</v>
      </c>
      <c r="F66">
        <v>3</v>
      </c>
      <c r="G66">
        <v>45</v>
      </c>
      <c r="H66" t="s">
        <v>14</v>
      </c>
      <c r="I66" t="s">
        <v>22</v>
      </c>
      <c r="J66" t="s">
        <v>27</v>
      </c>
      <c r="K66" t="s">
        <v>23</v>
      </c>
      <c r="L66" t="str">
        <f t="shared" ref="L66:L129" si="4">IF(E66*F66=G66,"OK","CHECK")</f>
        <v>OK</v>
      </c>
      <c r="M66" t="str">
        <f t="shared" ref="M66:M129" si="5">TEXT(B66,"MMM")</f>
        <v>Mar</v>
      </c>
      <c r="N66" t="str">
        <f t="shared" ref="N66:N129" si="6">TEXT(B66,"dddd")</f>
        <v>Sunday</v>
      </c>
      <c r="O66" t="str">
        <f t="shared" ref="O66:O129" si="7">IF(K66="Completed","Delivered",K66)</f>
        <v>Pending</v>
      </c>
    </row>
    <row r="67" spans="1:15" x14ac:dyDescent="0.35">
      <c r="A67" t="s">
        <v>119</v>
      </c>
      <c r="B67" s="1" t="d">
        <v>2025-03-14</v>
      </c>
      <c r="C67" t="s">
        <v>33</v>
      </c>
      <c r="D67" t="s">
        <v>20</v>
      </c>
      <c r="E67">
        <v>150</v>
      </c>
      <c r="F67">
        <v>2</v>
      </c>
      <c r="G67">
        <v>300</v>
      </c>
      <c r="H67" t="s">
        <v>54</v>
      </c>
      <c r="I67" t="s">
        <v>26</v>
      </c>
      <c r="J67" t="s">
        <v>39</v>
      </c>
      <c r="K67" t="s">
        <v>23</v>
      </c>
      <c r="L67" t="str">
        <f t="shared" si="4"/>
        <v>OK</v>
      </c>
      <c r="M67" t="str">
        <f t="shared" si="5"/>
        <v>Mar</v>
      </c>
      <c r="N67" t="str">
        <f t="shared" si="6"/>
        <v>Friday</v>
      </c>
      <c r="O67" t="str">
        <f t="shared" si="7"/>
        <v>Pending</v>
      </c>
    </row>
    <row r="68" spans="1:15" x14ac:dyDescent="0.35">
      <c r="A68" t="s">
        <v>120</v>
      </c>
      <c r="B68" s="1" t="d">
        <v>2025-03-31</v>
      </c>
      <c r="C68" t="s">
        <v>19</v>
      </c>
      <c r="D68" t="s">
        <v>20</v>
      </c>
      <c r="E68">
        <v>100</v>
      </c>
      <c r="F68">
        <v>3</v>
      </c>
      <c r="G68">
        <v>300</v>
      </c>
      <c r="H68" t="s">
        <v>72</v>
      </c>
      <c r="I68" t="s">
        <v>15</v>
      </c>
      <c r="J68" t="s">
        <v>16</v>
      </c>
      <c r="K68" t="s">
        <v>23</v>
      </c>
      <c r="L68" t="str">
        <f t="shared" si="4"/>
        <v>OK</v>
      </c>
      <c r="M68" t="str">
        <f t="shared" si="5"/>
        <v>Mar</v>
      </c>
      <c r="N68" t="str">
        <f t="shared" si="6"/>
        <v>Monday</v>
      </c>
      <c r="O68" t="str">
        <f t="shared" si="7"/>
        <v>Pending</v>
      </c>
    </row>
    <row r="69" spans="1:15" x14ac:dyDescent="0.35">
      <c r="A69" t="s">
        <v>121</v>
      </c>
      <c r="B69" s="1" t="d">
        <v>2025-02-23</v>
      </c>
      <c r="C69" t="s">
        <v>19</v>
      </c>
      <c r="D69" t="s">
        <v>20</v>
      </c>
      <c r="E69">
        <v>100</v>
      </c>
      <c r="F69">
        <v>1</v>
      </c>
      <c r="G69">
        <v>100</v>
      </c>
      <c r="H69" t="s">
        <v>51</v>
      </c>
      <c r="I69" t="s">
        <v>38</v>
      </c>
      <c r="J69" t="s">
        <v>16</v>
      </c>
      <c r="K69" t="s">
        <v>17</v>
      </c>
      <c r="L69" t="str">
        <f t="shared" si="4"/>
        <v>OK</v>
      </c>
      <c r="M69" t="str">
        <f t="shared" si="5"/>
        <v>Feb</v>
      </c>
      <c r="N69" t="str">
        <f t="shared" si="6"/>
        <v>Sunday</v>
      </c>
      <c r="O69" t="str">
        <f t="shared" si="7"/>
        <v>Cancelled</v>
      </c>
    </row>
    <row r="70" spans="1:15" x14ac:dyDescent="0.35">
      <c r="A70" t="s">
        <v>122</v>
      </c>
      <c r="B70" s="1" t="d">
        <v>2025-02-25</v>
      </c>
      <c r="C70" t="s">
        <v>65</v>
      </c>
      <c r="D70" t="s">
        <v>61</v>
      </c>
      <c r="E70">
        <v>1200</v>
      </c>
      <c r="F70">
        <v>4</v>
      </c>
      <c r="G70">
        <v>4800</v>
      </c>
      <c r="H70" t="s">
        <v>51</v>
      </c>
      <c r="I70" t="s">
        <v>46</v>
      </c>
      <c r="J70" t="s">
        <v>58</v>
      </c>
      <c r="K70" t="s">
        <v>23</v>
      </c>
      <c r="L70" t="str">
        <f t="shared" si="4"/>
        <v>OK</v>
      </c>
      <c r="M70" t="str">
        <f t="shared" si="5"/>
        <v>Feb</v>
      </c>
      <c r="N70" t="str">
        <f t="shared" si="6"/>
        <v>Tuesday</v>
      </c>
      <c r="O70" t="str">
        <f t="shared" si="7"/>
        <v>Pending</v>
      </c>
    </row>
    <row r="71" spans="1:15" x14ac:dyDescent="0.35">
      <c r="A71" t="s">
        <v>123</v>
      </c>
      <c r="B71" s="1" t="d">
        <v>2025-03-10</v>
      </c>
      <c r="C71" t="s">
        <v>49</v>
      </c>
      <c r="D71" t="s">
        <v>50</v>
      </c>
      <c r="E71">
        <v>15</v>
      </c>
      <c r="F71">
        <v>1</v>
      </c>
      <c r="G71">
        <v>15</v>
      </c>
      <c r="H71" t="s">
        <v>21</v>
      </c>
      <c r="I71" t="s">
        <v>46</v>
      </c>
      <c r="J71" t="s">
        <v>31</v>
      </c>
      <c r="K71" t="s">
        <v>40</v>
      </c>
      <c r="L71" t="str">
        <f t="shared" si="4"/>
        <v>OK</v>
      </c>
      <c r="M71" t="str">
        <f t="shared" si="5"/>
        <v>Mar</v>
      </c>
      <c r="N71" t="str">
        <f t="shared" si="6"/>
        <v>Monday</v>
      </c>
      <c r="O71" t="str">
        <f t="shared" si="7"/>
        <v>Delivered</v>
      </c>
    </row>
    <row r="72" spans="1:15" x14ac:dyDescent="0.35">
      <c r="A72" t="s">
        <v>124</v>
      </c>
      <c r="B72" s="1" t="d">
        <v>2025-03-16</v>
      </c>
      <c r="C72" t="s">
        <v>33</v>
      </c>
      <c r="D72" t="s">
        <v>20</v>
      </c>
      <c r="E72">
        <v>150</v>
      </c>
      <c r="F72">
        <v>5</v>
      </c>
      <c r="G72">
        <v>750</v>
      </c>
      <c r="H72" t="s">
        <v>25</v>
      </c>
      <c r="I72" t="s">
        <v>26</v>
      </c>
      <c r="J72" t="s">
        <v>31</v>
      </c>
      <c r="K72" t="s">
        <v>23</v>
      </c>
      <c r="L72" t="str">
        <f t="shared" si="4"/>
        <v>OK</v>
      </c>
      <c r="M72" t="str">
        <f t="shared" si="5"/>
        <v>Mar</v>
      </c>
      <c r="N72" t="str">
        <f t="shared" si="6"/>
        <v>Sunday</v>
      </c>
      <c r="O72" t="str">
        <f t="shared" si="7"/>
        <v>Pending</v>
      </c>
    </row>
    <row r="73" spans="1:15" x14ac:dyDescent="0.35">
      <c r="A73" t="s">
        <v>125</v>
      </c>
      <c r="B73" s="1" t="d">
        <v>2025-03-07</v>
      </c>
      <c r="C73" t="s">
        <v>56</v>
      </c>
      <c r="D73" t="s">
        <v>20</v>
      </c>
      <c r="E73">
        <v>800</v>
      </c>
      <c r="F73">
        <v>3</v>
      </c>
      <c r="G73">
        <v>2400</v>
      </c>
      <c r="H73" t="s">
        <v>57</v>
      </c>
      <c r="I73" t="s">
        <v>38</v>
      </c>
      <c r="J73" t="s">
        <v>31</v>
      </c>
      <c r="K73" t="s">
        <v>23</v>
      </c>
      <c r="L73" t="str">
        <f t="shared" si="4"/>
        <v>OK</v>
      </c>
      <c r="M73" t="str">
        <f t="shared" si="5"/>
        <v>Mar</v>
      </c>
      <c r="N73" t="str">
        <f t="shared" si="6"/>
        <v>Friday</v>
      </c>
      <c r="O73" t="str">
        <f t="shared" si="7"/>
        <v>Pending</v>
      </c>
    </row>
    <row r="74" spans="1:15" x14ac:dyDescent="0.35">
      <c r="A74" t="s">
        <v>126</v>
      </c>
      <c r="B74" s="1" t="d">
        <v>2025-02-20</v>
      </c>
      <c r="C74" t="s">
        <v>42</v>
      </c>
      <c r="D74" t="s">
        <v>20</v>
      </c>
      <c r="E74">
        <v>500</v>
      </c>
      <c r="F74">
        <v>5</v>
      </c>
      <c r="G74">
        <v>2500</v>
      </c>
      <c r="H74" t="s">
        <v>21</v>
      </c>
      <c r="I74" t="s">
        <v>44</v>
      </c>
      <c r="J74" t="s">
        <v>31</v>
      </c>
      <c r="K74" t="s">
        <v>17</v>
      </c>
      <c r="L74" t="str">
        <f t="shared" si="4"/>
        <v>OK</v>
      </c>
      <c r="M74" t="str">
        <f t="shared" si="5"/>
        <v>Feb</v>
      </c>
      <c r="N74" t="str">
        <f t="shared" si="6"/>
        <v>Thursday</v>
      </c>
      <c r="O74" t="str">
        <f t="shared" si="7"/>
        <v>Cancelled</v>
      </c>
    </row>
    <row r="75" spans="1:15" x14ac:dyDescent="0.35">
      <c r="A75" t="s">
        <v>127</v>
      </c>
      <c r="B75" s="1" t="d">
        <v>2025-03-25</v>
      </c>
      <c r="C75" t="s">
        <v>65</v>
      </c>
      <c r="D75" t="s">
        <v>61</v>
      </c>
      <c r="E75">
        <v>1200</v>
      </c>
      <c r="F75">
        <v>4</v>
      </c>
      <c r="G75">
        <v>4800</v>
      </c>
      <c r="H75" t="s">
        <v>80</v>
      </c>
      <c r="I75" t="s">
        <v>30</v>
      </c>
      <c r="J75" t="s">
        <v>58</v>
      </c>
      <c r="K75" t="s">
        <v>17</v>
      </c>
      <c r="L75" t="str">
        <f t="shared" si="4"/>
        <v>OK</v>
      </c>
      <c r="M75" t="str">
        <f t="shared" si="5"/>
        <v>Mar</v>
      </c>
      <c r="N75" t="str">
        <f t="shared" si="6"/>
        <v>Tuesday</v>
      </c>
      <c r="O75" t="str">
        <f t="shared" si="7"/>
        <v>Cancelled</v>
      </c>
    </row>
    <row r="76" spans="1:15" x14ac:dyDescent="0.35">
      <c r="A76" t="s">
        <v>128</v>
      </c>
      <c r="B76" s="1" t="d">
        <v>2025-02-26</v>
      </c>
      <c r="C76" t="s">
        <v>19</v>
      </c>
      <c r="D76" t="s">
        <v>20</v>
      </c>
      <c r="E76">
        <v>100</v>
      </c>
      <c r="F76">
        <v>2</v>
      </c>
      <c r="G76">
        <v>200</v>
      </c>
      <c r="H76" t="s">
        <v>57</v>
      </c>
      <c r="I76" t="s">
        <v>46</v>
      </c>
      <c r="J76" t="s">
        <v>39</v>
      </c>
      <c r="K76" t="s">
        <v>23</v>
      </c>
      <c r="L76" t="str">
        <f t="shared" si="4"/>
        <v>OK</v>
      </c>
      <c r="M76" t="str">
        <f t="shared" si="5"/>
        <v>Feb</v>
      </c>
      <c r="N76" t="str">
        <f t="shared" si="6"/>
        <v>Wednesday</v>
      </c>
      <c r="O76" t="str">
        <f t="shared" si="7"/>
        <v>Pending</v>
      </c>
    </row>
    <row r="77" spans="1:15" x14ac:dyDescent="0.35">
      <c r="A77" t="s">
        <v>129</v>
      </c>
      <c r="B77" s="1" t="d">
        <v>2025-02-24</v>
      </c>
      <c r="C77" t="s">
        <v>60</v>
      </c>
      <c r="D77" t="s">
        <v>61</v>
      </c>
      <c r="E77">
        <v>600</v>
      </c>
      <c r="F77">
        <v>1</v>
      </c>
      <c r="G77">
        <v>600</v>
      </c>
      <c r="H77" t="s">
        <v>80</v>
      </c>
      <c r="I77" t="s">
        <v>30</v>
      </c>
      <c r="J77" t="s">
        <v>27</v>
      </c>
      <c r="K77" t="s">
        <v>40</v>
      </c>
      <c r="L77" t="str">
        <f t="shared" si="4"/>
        <v>OK</v>
      </c>
      <c r="M77" t="str">
        <f t="shared" si="5"/>
        <v>Feb</v>
      </c>
      <c r="N77" t="str">
        <f t="shared" si="6"/>
        <v>Monday</v>
      </c>
      <c r="O77" t="str">
        <f t="shared" si="7"/>
        <v>Delivered</v>
      </c>
    </row>
    <row r="78" spans="1:15" x14ac:dyDescent="0.35">
      <c r="A78" t="s">
        <v>130</v>
      </c>
      <c r="B78" s="1" t="d">
        <v>2025-03-20</v>
      </c>
      <c r="C78" t="s">
        <v>19</v>
      </c>
      <c r="D78" t="s">
        <v>20</v>
      </c>
      <c r="E78">
        <v>100</v>
      </c>
      <c r="F78">
        <v>2</v>
      </c>
      <c r="G78">
        <v>200</v>
      </c>
      <c r="H78" t="s">
        <v>57</v>
      </c>
      <c r="I78" t="s">
        <v>38</v>
      </c>
      <c r="J78" t="s">
        <v>31</v>
      </c>
      <c r="K78" t="s">
        <v>40</v>
      </c>
      <c r="L78" t="str">
        <f t="shared" si="4"/>
        <v>OK</v>
      </c>
      <c r="M78" t="str">
        <f t="shared" si="5"/>
        <v>Mar</v>
      </c>
      <c r="N78" t="str">
        <f t="shared" si="6"/>
        <v>Thursday</v>
      </c>
      <c r="O78" t="str">
        <f t="shared" si="7"/>
        <v>Delivered</v>
      </c>
    </row>
    <row r="79" spans="1:15" x14ac:dyDescent="0.35">
      <c r="A79" t="s">
        <v>131</v>
      </c>
      <c r="B79" s="1" t="d">
        <v>2025-03-18</v>
      </c>
      <c r="C79" t="s">
        <v>33</v>
      </c>
      <c r="D79" t="s">
        <v>20</v>
      </c>
      <c r="E79">
        <v>150</v>
      </c>
      <c r="F79">
        <v>2</v>
      </c>
      <c r="G79">
        <v>300</v>
      </c>
      <c r="H79" t="s">
        <v>14</v>
      </c>
      <c r="I79" t="s">
        <v>68</v>
      </c>
      <c r="J79" t="s">
        <v>58</v>
      </c>
      <c r="K79" t="s">
        <v>17</v>
      </c>
      <c r="L79" t="str">
        <f t="shared" si="4"/>
        <v>OK</v>
      </c>
      <c r="M79" t="str">
        <f t="shared" si="5"/>
        <v>Mar</v>
      </c>
      <c r="N79" t="str">
        <f t="shared" si="6"/>
        <v>Tuesday</v>
      </c>
      <c r="O79" t="str">
        <f t="shared" si="7"/>
        <v>Cancelled</v>
      </c>
    </row>
    <row r="80" spans="1:15" x14ac:dyDescent="0.35">
      <c r="A80" t="s">
        <v>132</v>
      </c>
      <c r="B80" s="1" t="d">
        <v>2025-03-09</v>
      </c>
      <c r="C80" t="s">
        <v>12</v>
      </c>
      <c r="D80" t="s">
        <v>13</v>
      </c>
      <c r="E80">
        <v>60</v>
      </c>
      <c r="F80">
        <v>2</v>
      </c>
      <c r="G80">
        <v>120</v>
      </c>
      <c r="H80" t="s">
        <v>21</v>
      </c>
      <c r="I80" t="s">
        <v>26</v>
      </c>
      <c r="J80" t="s">
        <v>58</v>
      </c>
      <c r="K80" t="s">
        <v>17</v>
      </c>
      <c r="L80" t="str">
        <f t="shared" si="4"/>
        <v>OK</v>
      </c>
      <c r="M80" t="str">
        <f t="shared" si="5"/>
        <v>Mar</v>
      </c>
      <c r="N80" t="str">
        <f t="shared" si="6"/>
        <v>Sunday</v>
      </c>
      <c r="O80" t="str">
        <f t="shared" si="7"/>
        <v>Cancelled</v>
      </c>
    </row>
    <row r="81" spans="1:15" x14ac:dyDescent="0.35">
      <c r="A81" t="s">
        <v>133</v>
      </c>
      <c r="B81" s="1" t="d">
        <v>2025-02-23</v>
      </c>
      <c r="C81" t="s">
        <v>12</v>
      </c>
      <c r="D81" t="s">
        <v>13</v>
      </c>
      <c r="E81">
        <v>60</v>
      </c>
      <c r="F81">
        <v>4</v>
      </c>
      <c r="G81">
        <v>240</v>
      </c>
      <c r="H81" t="s">
        <v>43</v>
      </c>
      <c r="I81" t="s">
        <v>22</v>
      </c>
      <c r="J81" t="s">
        <v>16</v>
      </c>
      <c r="K81" t="s">
        <v>23</v>
      </c>
      <c r="L81" t="str">
        <f t="shared" si="4"/>
        <v>OK</v>
      </c>
      <c r="M81" t="str">
        <f t="shared" si="5"/>
        <v>Feb</v>
      </c>
      <c r="N81" t="str">
        <f t="shared" si="6"/>
        <v>Sunday</v>
      </c>
      <c r="O81" t="str">
        <f t="shared" si="7"/>
        <v>Pending</v>
      </c>
    </row>
    <row r="82" spans="1:15" x14ac:dyDescent="0.35">
      <c r="A82" t="s">
        <v>134</v>
      </c>
      <c r="B82" s="1" t="d">
        <v>2025-02-26</v>
      </c>
      <c r="C82" t="s">
        <v>19</v>
      </c>
      <c r="D82" t="s">
        <v>20</v>
      </c>
      <c r="E82">
        <v>100</v>
      </c>
      <c r="F82">
        <v>3</v>
      </c>
      <c r="G82">
        <v>300</v>
      </c>
      <c r="H82" t="s">
        <v>54</v>
      </c>
      <c r="I82" t="s">
        <v>81</v>
      </c>
      <c r="J82" t="s">
        <v>39</v>
      </c>
      <c r="K82" t="s">
        <v>17</v>
      </c>
      <c r="L82" t="str">
        <f t="shared" si="4"/>
        <v>OK</v>
      </c>
      <c r="M82" t="str">
        <f t="shared" si="5"/>
        <v>Feb</v>
      </c>
      <c r="N82" t="str">
        <f t="shared" si="6"/>
        <v>Wednesday</v>
      </c>
      <c r="O82" t="str">
        <f t="shared" si="7"/>
        <v>Cancelled</v>
      </c>
    </row>
    <row r="83" spans="1:15" x14ac:dyDescent="0.35">
      <c r="A83" t="s">
        <v>135</v>
      </c>
      <c r="B83" s="1" t="d">
        <v>2025-02-24</v>
      </c>
      <c r="C83" t="s">
        <v>42</v>
      </c>
      <c r="D83" t="s">
        <v>20</v>
      </c>
      <c r="E83">
        <v>500</v>
      </c>
      <c r="F83">
        <v>3</v>
      </c>
      <c r="G83">
        <v>1500</v>
      </c>
      <c r="H83" t="s">
        <v>80</v>
      </c>
      <c r="I83" t="s">
        <v>63</v>
      </c>
      <c r="J83" t="s">
        <v>16</v>
      </c>
      <c r="K83" t="s">
        <v>17</v>
      </c>
      <c r="L83" t="str">
        <f t="shared" si="4"/>
        <v>OK</v>
      </c>
      <c r="M83" t="str">
        <f t="shared" si="5"/>
        <v>Feb</v>
      </c>
      <c r="N83" t="str">
        <f t="shared" si="6"/>
        <v>Monday</v>
      </c>
      <c r="O83" t="str">
        <f t="shared" si="7"/>
        <v>Cancelled</v>
      </c>
    </row>
    <row r="84" spans="1:15" x14ac:dyDescent="0.35">
      <c r="A84" t="s">
        <v>136</v>
      </c>
      <c r="B84" s="1" t="d">
        <v>2025-02-28</v>
      </c>
      <c r="C84" t="s">
        <v>60</v>
      </c>
      <c r="D84" t="s">
        <v>61</v>
      </c>
      <c r="E84">
        <v>600</v>
      </c>
      <c r="F84">
        <v>4</v>
      </c>
      <c r="G84">
        <v>2400</v>
      </c>
      <c r="H84" t="s">
        <v>14</v>
      </c>
      <c r="I84" t="s">
        <v>38</v>
      </c>
      <c r="J84" t="s">
        <v>58</v>
      </c>
      <c r="K84" t="s">
        <v>17</v>
      </c>
      <c r="L84" t="str">
        <f t="shared" si="4"/>
        <v>OK</v>
      </c>
      <c r="M84" t="str">
        <f t="shared" si="5"/>
        <v>Feb</v>
      </c>
      <c r="N84" t="str">
        <f t="shared" si="6"/>
        <v>Friday</v>
      </c>
      <c r="O84" t="str">
        <f t="shared" si="7"/>
        <v>Cancelled</v>
      </c>
    </row>
    <row r="85" spans="1:15" x14ac:dyDescent="0.35">
      <c r="A85" t="s">
        <v>137</v>
      </c>
      <c r="B85" s="1" t="d">
        <v>2025-02-14</v>
      </c>
      <c r="C85" t="s">
        <v>35</v>
      </c>
      <c r="D85" t="s">
        <v>36</v>
      </c>
      <c r="E85">
        <v>20</v>
      </c>
      <c r="F85">
        <v>5</v>
      </c>
      <c r="G85">
        <v>100</v>
      </c>
      <c r="H85" t="s">
        <v>29</v>
      </c>
      <c r="I85" t="s">
        <v>46</v>
      </c>
      <c r="J85" t="s">
        <v>39</v>
      </c>
      <c r="K85" t="s">
        <v>40</v>
      </c>
      <c r="L85" t="str">
        <f t="shared" si="4"/>
        <v>OK</v>
      </c>
      <c r="M85" t="str">
        <f t="shared" si="5"/>
        <v>Feb</v>
      </c>
      <c r="N85" t="str">
        <f t="shared" si="6"/>
        <v>Friday</v>
      </c>
      <c r="O85" t="str">
        <f t="shared" si="7"/>
        <v>Delivered</v>
      </c>
    </row>
    <row r="86" spans="1:15" x14ac:dyDescent="0.35">
      <c r="A86" t="s">
        <v>138</v>
      </c>
      <c r="B86" s="1" t="d">
        <v>2025-02-06</v>
      </c>
      <c r="C86" t="s">
        <v>42</v>
      </c>
      <c r="D86" t="s">
        <v>20</v>
      </c>
      <c r="E86">
        <v>500</v>
      </c>
      <c r="F86">
        <v>5</v>
      </c>
      <c r="G86">
        <v>2500</v>
      </c>
      <c r="H86" t="s">
        <v>54</v>
      </c>
      <c r="I86" t="s">
        <v>38</v>
      </c>
      <c r="J86" t="s">
        <v>39</v>
      </c>
      <c r="K86" t="s">
        <v>40</v>
      </c>
      <c r="L86" t="str">
        <f t="shared" si="4"/>
        <v>OK</v>
      </c>
      <c r="M86" t="str">
        <f t="shared" si="5"/>
        <v>Feb</v>
      </c>
      <c r="N86" t="str">
        <f t="shared" si="6"/>
        <v>Thursday</v>
      </c>
      <c r="O86" t="str">
        <f t="shared" si="7"/>
        <v>Delivered</v>
      </c>
    </row>
    <row r="87" spans="1:15" x14ac:dyDescent="0.35">
      <c r="A87" t="s">
        <v>139</v>
      </c>
      <c r="B87" s="1" t="d">
        <v>2025-02-25</v>
      </c>
      <c r="C87" t="s">
        <v>33</v>
      </c>
      <c r="D87" t="s">
        <v>20</v>
      </c>
      <c r="E87">
        <v>150</v>
      </c>
      <c r="F87">
        <v>5</v>
      </c>
      <c r="G87">
        <v>750</v>
      </c>
      <c r="H87" t="s">
        <v>80</v>
      </c>
      <c r="I87" t="s">
        <v>30</v>
      </c>
      <c r="J87" t="s">
        <v>39</v>
      </c>
      <c r="K87" t="s">
        <v>17</v>
      </c>
      <c r="L87" t="str">
        <f t="shared" si="4"/>
        <v>OK</v>
      </c>
      <c r="M87" t="str">
        <f t="shared" si="5"/>
        <v>Feb</v>
      </c>
      <c r="N87" t="str">
        <f t="shared" si="6"/>
        <v>Tuesday</v>
      </c>
      <c r="O87" t="str">
        <f t="shared" si="7"/>
        <v>Cancelled</v>
      </c>
    </row>
    <row r="88" spans="1:15" x14ac:dyDescent="0.35">
      <c r="A88" t="s">
        <v>140</v>
      </c>
      <c r="B88" s="1" t="d">
        <v>2025-03-13</v>
      </c>
      <c r="C88" t="s">
        <v>12</v>
      </c>
      <c r="D88" t="s">
        <v>13</v>
      </c>
      <c r="E88">
        <v>60</v>
      </c>
      <c r="F88">
        <v>5</v>
      </c>
      <c r="G88">
        <v>300</v>
      </c>
      <c r="H88" t="s">
        <v>14</v>
      </c>
      <c r="I88" t="s">
        <v>44</v>
      </c>
      <c r="J88" t="s">
        <v>16</v>
      </c>
      <c r="K88" t="s">
        <v>40</v>
      </c>
      <c r="L88" t="str">
        <f t="shared" si="4"/>
        <v>OK</v>
      </c>
      <c r="M88" t="str">
        <f t="shared" si="5"/>
        <v>Mar</v>
      </c>
      <c r="N88" t="str">
        <f t="shared" si="6"/>
        <v>Thursday</v>
      </c>
      <c r="O88" t="str">
        <f t="shared" si="7"/>
        <v>Delivered</v>
      </c>
    </row>
    <row r="89" spans="1:15" x14ac:dyDescent="0.35">
      <c r="A89" t="s">
        <v>141</v>
      </c>
      <c r="B89" s="1" t="d">
        <v>2025-02-06</v>
      </c>
      <c r="C89" t="s">
        <v>65</v>
      </c>
      <c r="D89" t="s">
        <v>61</v>
      </c>
      <c r="E89">
        <v>1200</v>
      </c>
      <c r="F89">
        <v>2</v>
      </c>
      <c r="G89">
        <v>2400</v>
      </c>
      <c r="H89" t="s">
        <v>72</v>
      </c>
      <c r="I89" t="s">
        <v>63</v>
      </c>
      <c r="J89" t="s">
        <v>16</v>
      </c>
      <c r="K89" t="s">
        <v>23</v>
      </c>
      <c r="L89" t="str">
        <f t="shared" si="4"/>
        <v>OK</v>
      </c>
      <c r="M89" t="str">
        <f t="shared" si="5"/>
        <v>Feb</v>
      </c>
      <c r="N89" t="str">
        <f t="shared" si="6"/>
        <v>Thursday</v>
      </c>
      <c r="O89" t="str">
        <f t="shared" si="7"/>
        <v>Pending</v>
      </c>
    </row>
    <row r="90" spans="1:15" x14ac:dyDescent="0.35">
      <c r="A90" t="s">
        <v>142</v>
      </c>
      <c r="B90" s="1" t="d">
        <v>2025-03-26</v>
      </c>
      <c r="C90" t="s">
        <v>12</v>
      </c>
      <c r="D90" t="s">
        <v>13</v>
      </c>
      <c r="E90">
        <v>60</v>
      </c>
      <c r="F90">
        <v>5</v>
      </c>
      <c r="G90">
        <v>300</v>
      </c>
      <c r="H90" t="s">
        <v>14</v>
      </c>
      <c r="I90" t="s">
        <v>68</v>
      </c>
      <c r="J90" t="s">
        <v>31</v>
      </c>
      <c r="K90" t="s">
        <v>17</v>
      </c>
      <c r="L90" t="str">
        <f t="shared" si="4"/>
        <v>OK</v>
      </c>
      <c r="M90" t="str">
        <f t="shared" si="5"/>
        <v>Mar</v>
      </c>
      <c r="N90" t="str">
        <f t="shared" si="6"/>
        <v>Wednesday</v>
      </c>
      <c r="O90" t="str">
        <f t="shared" si="7"/>
        <v>Cancelled</v>
      </c>
    </row>
    <row r="91" spans="1:15" x14ac:dyDescent="0.35">
      <c r="A91" t="s">
        <v>143</v>
      </c>
      <c r="B91" s="1" t="d">
        <v>2025-03-24</v>
      </c>
      <c r="C91" t="s">
        <v>33</v>
      </c>
      <c r="D91" t="s">
        <v>20</v>
      </c>
      <c r="E91">
        <v>150</v>
      </c>
      <c r="F91">
        <v>5</v>
      </c>
      <c r="G91">
        <v>750</v>
      </c>
      <c r="H91" t="s">
        <v>21</v>
      </c>
      <c r="I91" t="s">
        <v>38</v>
      </c>
      <c r="J91" t="s">
        <v>27</v>
      </c>
      <c r="K91" t="s">
        <v>40</v>
      </c>
      <c r="L91" t="str">
        <f t="shared" si="4"/>
        <v>OK</v>
      </c>
      <c r="M91" t="str">
        <f t="shared" si="5"/>
        <v>Mar</v>
      </c>
      <c r="N91" t="str">
        <f t="shared" si="6"/>
        <v>Monday</v>
      </c>
      <c r="O91" t="str">
        <f t="shared" si="7"/>
        <v>Delivered</v>
      </c>
    </row>
    <row r="92" spans="1:15" x14ac:dyDescent="0.35">
      <c r="A92" t="s">
        <v>144</v>
      </c>
      <c r="B92" s="1" t="d">
        <v>2025-02-03</v>
      </c>
      <c r="C92" t="s">
        <v>56</v>
      </c>
      <c r="D92" t="s">
        <v>20</v>
      </c>
      <c r="E92">
        <v>800</v>
      </c>
      <c r="F92">
        <v>4</v>
      </c>
      <c r="G92">
        <v>3200</v>
      </c>
      <c r="H92" t="s">
        <v>57</v>
      </c>
      <c r="I92" t="s">
        <v>38</v>
      </c>
      <c r="J92" t="s">
        <v>58</v>
      </c>
      <c r="K92" t="s">
        <v>23</v>
      </c>
      <c r="L92" t="str">
        <f t="shared" si="4"/>
        <v>OK</v>
      </c>
      <c r="M92" t="str">
        <f t="shared" si="5"/>
        <v>Feb</v>
      </c>
      <c r="N92" t="str">
        <f t="shared" si="6"/>
        <v>Monday</v>
      </c>
      <c r="O92" t="str">
        <f t="shared" si="7"/>
        <v>Pending</v>
      </c>
    </row>
    <row r="93" spans="1:15" x14ac:dyDescent="0.35">
      <c r="A93" t="s">
        <v>145</v>
      </c>
      <c r="B93" s="1" t="d">
        <v>2025-03-15</v>
      </c>
      <c r="C93" t="s">
        <v>42</v>
      </c>
      <c r="D93" t="s">
        <v>20</v>
      </c>
      <c r="E93">
        <v>500</v>
      </c>
      <c r="F93">
        <v>2</v>
      </c>
      <c r="G93">
        <v>1000</v>
      </c>
      <c r="H93" t="s">
        <v>29</v>
      </c>
      <c r="I93" t="s">
        <v>46</v>
      </c>
      <c r="J93" t="s">
        <v>39</v>
      </c>
      <c r="K93" t="s">
        <v>17</v>
      </c>
      <c r="L93" t="str">
        <f t="shared" si="4"/>
        <v>OK</v>
      </c>
      <c r="M93" t="str">
        <f t="shared" si="5"/>
        <v>Mar</v>
      </c>
      <c r="N93" t="str">
        <f t="shared" si="6"/>
        <v>Saturday</v>
      </c>
      <c r="O93" t="str">
        <f t="shared" si="7"/>
        <v>Cancelled</v>
      </c>
    </row>
    <row r="94" spans="1:15" x14ac:dyDescent="0.35">
      <c r="A94" t="s">
        <v>146</v>
      </c>
      <c r="B94" s="1" t="d">
        <v>2025-03-06</v>
      </c>
      <c r="C94" t="s">
        <v>65</v>
      </c>
      <c r="D94" t="s">
        <v>61</v>
      </c>
      <c r="E94">
        <v>1200</v>
      </c>
      <c r="F94">
        <v>5</v>
      </c>
      <c r="G94">
        <v>6000</v>
      </c>
      <c r="H94" t="s">
        <v>51</v>
      </c>
      <c r="I94" t="s">
        <v>26</v>
      </c>
      <c r="J94" t="s">
        <v>39</v>
      </c>
      <c r="K94" t="s">
        <v>17</v>
      </c>
      <c r="L94" t="str">
        <f t="shared" si="4"/>
        <v>OK</v>
      </c>
      <c r="M94" t="str">
        <f t="shared" si="5"/>
        <v>Mar</v>
      </c>
      <c r="N94" t="str">
        <f t="shared" si="6"/>
        <v>Thursday</v>
      </c>
      <c r="O94" t="str">
        <f t="shared" si="7"/>
        <v>Cancelled</v>
      </c>
    </row>
    <row r="95" spans="1:15" x14ac:dyDescent="0.35">
      <c r="A95" t="s">
        <v>147</v>
      </c>
      <c r="B95" s="1" t="d">
        <v>2025-03-25</v>
      </c>
      <c r="C95" t="s">
        <v>53</v>
      </c>
      <c r="D95" t="s">
        <v>36</v>
      </c>
      <c r="E95">
        <v>40</v>
      </c>
      <c r="F95">
        <v>5</v>
      </c>
      <c r="G95">
        <v>200</v>
      </c>
      <c r="H95" t="s">
        <v>57</v>
      </c>
      <c r="I95" t="s">
        <v>63</v>
      </c>
      <c r="J95" t="s">
        <v>31</v>
      </c>
      <c r="K95" t="s">
        <v>17</v>
      </c>
      <c r="L95" t="str">
        <f t="shared" si="4"/>
        <v>OK</v>
      </c>
      <c r="M95" t="str">
        <f t="shared" si="5"/>
        <v>Mar</v>
      </c>
      <c r="N95" t="str">
        <f t="shared" si="6"/>
        <v>Tuesday</v>
      </c>
      <c r="O95" t="str">
        <f t="shared" si="7"/>
        <v>Cancelled</v>
      </c>
    </row>
    <row r="96" spans="1:15" x14ac:dyDescent="0.35">
      <c r="A96" t="s">
        <v>148</v>
      </c>
      <c r="B96" s="1" t="d">
        <v>2025-02-17</v>
      </c>
      <c r="C96" t="s">
        <v>33</v>
      </c>
      <c r="D96" t="s">
        <v>20</v>
      </c>
      <c r="E96">
        <v>150</v>
      </c>
      <c r="F96">
        <v>4</v>
      </c>
      <c r="G96">
        <v>600</v>
      </c>
      <c r="H96" t="s">
        <v>72</v>
      </c>
      <c r="I96" t="s">
        <v>15</v>
      </c>
      <c r="J96" t="s">
        <v>16</v>
      </c>
      <c r="K96" t="s">
        <v>17</v>
      </c>
      <c r="L96" t="str">
        <f t="shared" si="4"/>
        <v>OK</v>
      </c>
      <c r="M96" t="str">
        <f t="shared" si="5"/>
        <v>Feb</v>
      </c>
      <c r="N96" t="str">
        <f t="shared" si="6"/>
        <v>Monday</v>
      </c>
      <c r="O96" t="str">
        <f t="shared" si="7"/>
        <v>Cancelled</v>
      </c>
    </row>
    <row r="97" spans="1:15" x14ac:dyDescent="0.35">
      <c r="A97" t="s">
        <v>149</v>
      </c>
      <c r="B97" s="1" t="d">
        <v>2025-03-30</v>
      </c>
      <c r="C97" t="s">
        <v>33</v>
      </c>
      <c r="D97" t="s">
        <v>20</v>
      </c>
      <c r="E97">
        <v>150</v>
      </c>
      <c r="F97">
        <v>3</v>
      </c>
      <c r="G97">
        <v>450</v>
      </c>
      <c r="H97" t="s">
        <v>80</v>
      </c>
      <c r="I97" t="s">
        <v>15</v>
      </c>
      <c r="J97" t="s">
        <v>27</v>
      </c>
      <c r="K97" t="s">
        <v>40</v>
      </c>
      <c r="L97" t="str">
        <f t="shared" si="4"/>
        <v>OK</v>
      </c>
      <c r="M97" t="str">
        <f t="shared" si="5"/>
        <v>Mar</v>
      </c>
      <c r="N97" t="str">
        <f t="shared" si="6"/>
        <v>Sunday</v>
      </c>
      <c r="O97" t="str">
        <f t="shared" si="7"/>
        <v>Delivered</v>
      </c>
    </row>
    <row r="98" spans="1:15" x14ac:dyDescent="0.35">
      <c r="A98" t="s">
        <v>150</v>
      </c>
      <c r="B98" s="1" t="d">
        <v>2025-03-25</v>
      </c>
      <c r="C98" t="s">
        <v>49</v>
      </c>
      <c r="D98" t="s">
        <v>50</v>
      </c>
      <c r="E98">
        <v>15</v>
      </c>
      <c r="F98">
        <v>5</v>
      </c>
      <c r="G98">
        <v>75</v>
      </c>
      <c r="H98" t="s">
        <v>29</v>
      </c>
      <c r="I98" t="s">
        <v>81</v>
      </c>
      <c r="J98" t="s">
        <v>27</v>
      </c>
      <c r="K98" t="s">
        <v>23</v>
      </c>
      <c r="L98" t="str">
        <f t="shared" si="4"/>
        <v>OK</v>
      </c>
      <c r="M98" t="str">
        <f t="shared" si="5"/>
        <v>Mar</v>
      </c>
      <c r="N98" t="str">
        <f t="shared" si="6"/>
        <v>Tuesday</v>
      </c>
      <c r="O98" t="str">
        <f t="shared" si="7"/>
        <v>Pending</v>
      </c>
    </row>
    <row r="99" spans="1:15" x14ac:dyDescent="0.35">
      <c r="A99" t="s">
        <v>151</v>
      </c>
      <c r="B99" s="1" t="d">
        <v>2025-02-14</v>
      </c>
      <c r="C99" t="s">
        <v>33</v>
      </c>
      <c r="D99" t="s">
        <v>20</v>
      </c>
      <c r="E99">
        <v>150</v>
      </c>
      <c r="F99">
        <v>2</v>
      </c>
      <c r="G99">
        <v>300</v>
      </c>
      <c r="H99" t="s">
        <v>72</v>
      </c>
      <c r="I99" t="s">
        <v>44</v>
      </c>
      <c r="J99" t="s">
        <v>39</v>
      </c>
      <c r="K99" t="s">
        <v>23</v>
      </c>
      <c r="L99" t="str">
        <f t="shared" si="4"/>
        <v>OK</v>
      </c>
      <c r="M99" t="str">
        <f t="shared" si="5"/>
        <v>Feb</v>
      </c>
      <c r="N99" t="str">
        <f t="shared" si="6"/>
        <v>Friday</v>
      </c>
      <c r="O99" t="str">
        <f t="shared" si="7"/>
        <v>Pending</v>
      </c>
    </row>
    <row r="100" spans="1:15" x14ac:dyDescent="0.35">
      <c r="A100" t="s">
        <v>152</v>
      </c>
      <c r="B100" s="1" t="d">
        <v>2025-02-18</v>
      </c>
      <c r="C100" t="s">
        <v>60</v>
      </c>
      <c r="D100" t="s">
        <v>61</v>
      </c>
      <c r="E100">
        <v>600</v>
      </c>
      <c r="F100">
        <v>5</v>
      </c>
      <c r="G100">
        <v>3000</v>
      </c>
      <c r="H100" t="s">
        <v>54</v>
      </c>
      <c r="I100" t="s">
        <v>63</v>
      </c>
      <c r="J100" t="s">
        <v>16</v>
      </c>
      <c r="K100" t="s">
        <v>40</v>
      </c>
      <c r="L100" t="str">
        <f t="shared" si="4"/>
        <v>OK</v>
      </c>
      <c r="M100" t="str">
        <f t="shared" si="5"/>
        <v>Feb</v>
      </c>
      <c r="N100" t="str">
        <f t="shared" si="6"/>
        <v>Tuesday</v>
      </c>
      <c r="O100" t="str">
        <f t="shared" si="7"/>
        <v>Delivered</v>
      </c>
    </row>
    <row r="101" spans="1:15" x14ac:dyDescent="0.35">
      <c r="A101" t="s">
        <v>153</v>
      </c>
      <c r="B101" s="1" t="d">
        <v>2025-02-13</v>
      </c>
      <c r="C101" t="s">
        <v>12</v>
      </c>
      <c r="D101" t="s">
        <v>13</v>
      </c>
      <c r="E101">
        <v>60</v>
      </c>
      <c r="F101">
        <v>1</v>
      </c>
      <c r="G101">
        <v>60</v>
      </c>
      <c r="H101" t="s">
        <v>80</v>
      </c>
      <c r="I101" t="s">
        <v>38</v>
      </c>
      <c r="J101" t="s">
        <v>58</v>
      </c>
      <c r="K101" t="s">
        <v>17</v>
      </c>
      <c r="L101" t="str">
        <f t="shared" si="4"/>
        <v>OK</v>
      </c>
      <c r="M101" t="str">
        <f t="shared" si="5"/>
        <v>Feb</v>
      </c>
      <c r="N101" t="str">
        <f t="shared" si="6"/>
        <v>Thursday</v>
      </c>
      <c r="O101" t="str">
        <f t="shared" si="7"/>
        <v>Cancelled</v>
      </c>
    </row>
    <row r="102" spans="1:15" x14ac:dyDescent="0.35">
      <c r="A102" t="s">
        <v>154</v>
      </c>
      <c r="B102" s="1" t="d">
        <v>2025-02-20</v>
      </c>
      <c r="C102" t="s">
        <v>49</v>
      </c>
      <c r="D102" t="s">
        <v>50</v>
      </c>
      <c r="E102">
        <v>15</v>
      </c>
      <c r="F102">
        <v>5</v>
      </c>
      <c r="G102">
        <v>75</v>
      </c>
      <c r="H102" t="s">
        <v>25</v>
      </c>
      <c r="I102" t="s">
        <v>26</v>
      </c>
      <c r="J102" t="s">
        <v>39</v>
      </c>
      <c r="K102" t="s">
        <v>23</v>
      </c>
      <c r="L102" t="str">
        <f t="shared" si="4"/>
        <v>OK</v>
      </c>
      <c r="M102" t="str">
        <f t="shared" si="5"/>
        <v>Feb</v>
      </c>
      <c r="N102" t="str">
        <f t="shared" si="6"/>
        <v>Thursday</v>
      </c>
      <c r="O102" t="str">
        <f t="shared" si="7"/>
        <v>Pending</v>
      </c>
    </row>
    <row r="103" spans="1:15" x14ac:dyDescent="0.35">
      <c r="A103" t="s">
        <v>155</v>
      </c>
      <c r="B103" s="1" t="d">
        <v>2025-02-28</v>
      </c>
      <c r="C103" t="s">
        <v>42</v>
      </c>
      <c r="D103" t="s">
        <v>20</v>
      </c>
      <c r="E103">
        <v>500</v>
      </c>
      <c r="F103">
        <v>2</v>
      </c>
      <c r="G103">
        <v>1000</v>
      </c>
      <c r="H103" t="s">
        <v>51</v>
      </c>
      <c r="I103" t="s">
        <v>46</v>
      </c>
      <c r="J103" t="s">
        <v>39</v>
      </c>
      <c r="K103" t="s">
        <v>23</v>
      </c>
      <c r="L103" t="str">
        <f t="shared" si="4"/>
        <v>OK</v>
      </c>
      <c r="M103" t="str">
        <f t="shared" si="5"/>
        <v>Feb</v>
      </c>
      <c r="N103" t="str">
        <f t="shared" si="6"/>
        <v>Friday</v>
      </c>
      <c r="O103" t="str">
        <f t="shared" si="7"/>
        <v>Pending</v>
      </c>
    </row>
    <row r="104" spans="1:15" x14ac:dyDescent="0.35">
      <c r="A104" t="s">
        <v>156</v>
      </c>
      <c r="B104" s="1" t="d">
        <v>2025-03-14</v>
      </c>
      <c r="C104" t="s">
        <v>35</v>
      </c>
      <c r="D104" t="s">
        <v>36</v>
      </c>
      <c r="E104">
        <v>20</v>
      </c>
      <c r="F104">
        <v>2</v>
      </c>
      <c r="G104">
        <v>40</v>
      </c>
      <c r="H104" t="s">
        <v>54</v>
      </c>
      <c r="I104" t="s">
        <v>81</v>
      </c>
      <c r="J104" t="s">
        <v>39</v>
      </c>
      <c r="K104" t="s">
        <v>23</v>
      </c>
      <c r="L104" t="str">
        <f t="shared" si="4"/>
        <v>OK</v>
      </c>
      <c r="M104" t="str">
        <f t="shared" si="5"/>
        <v>Mar</v>
      </c>
      <c r="N104" t="str">
        <f t="shared" si="6"/>
        <v>Friday</v>
      </c>
      <c r="O104" t="str">
        <f t="shared" si="7"/>
        <v>Pending</v>
      </c>
    </row>
    <row r="105" spans="1:15" x14ac:dyDescent="0.35">
      <c r="A105" t="s">
        <v>157</v>
      </c>
      <c r="B105" s="1" t="d">
        <v>2025-02-22</v>
      </c>
      <c r="C105" t="s">
        <v>53</v>
      </c>
      <c r="D105" t="s">
        <v>36</v>
      </c>
      <c r="E105">
        <v>40</v>
      </c>
      <c r="F105">
        <v>5</v>
      </c>
      <c r="G105">
        <v>200</v>
      </c>
      <c r="H105" t="s">
        <v>80</v>
      </c>
      <c r="I105" t="s">
        <v>30</v>
      </c>
      <c r="J105" t="s">
        <v>16</v>
      </c>
      <c r="K105" t="s">
        <v>23</v>
      </c>
      <c r="L105" t="str">
        <f t="shared" si="4"/>
        <v>OK</v>
      </c>
      <c r="M105" t="str">
        <f t="shared" si="5"/>
        <v>Feb</v>
      </c>
      <c r="N105" t="str">
        <f t="shared" si="6"/>
        <v>Saturday</v>
      </c>
      <c r="O105" t="str">
        <f t="shared" si="7"/>
        <v>Pending</v>
      </c>
    </row>
    <row r="106" spans="1:15" x14ac:dyDescent="0.35">
      <c r="A106" t="s">
        <v>158</v>
      </c>
      <c r="B106" s="1" t="d">
        <v>2025-03-16</v>
      </c>
      <c r="C106" t="s">
        <v>53</v>
      </c>
      <c r="D106" t="s">
        <v>36</v>
      </c>
      <c r="E106">
        <v>40</v>
      </c>
      <c r="F106">
        <v>1</v>
      </c>
      <c r="G106">
        <v>40</v>
      </c>
      <c r="H106" t="s">
        <v>80</v>
      </c>
      <c r="I106" t="s">
        <v>46</v>
      </c>
      <c r="J106" t="s">
        <v>16</v>
      </c>
      <c r="K106" t="s">
        <v>23</v>
      </c>
      <c r="L106" t="str">
        <f t="shared" si="4"/>
        <v>OK</v>
      </c>
      <c r="M106" t="str">
        <f t="shared" si="5"/>
        <v>Mar</v>
      </c>
      <c r="N106" t="str">
        <f t="shared" si="6"/>
        <v>Sunday</v>
      </c>
      <c r="O106" t="str">
        <f t="shared" si="7"/>
        <v>Pending</v>
      </c>
    </row>
    <row r="107" spans="1:15" x14ac:dyDescent="0.35">
      <c r="A107" t="s">
        <v>159</v>
      </c>
      <c r="B107" s="1" t="d">
        <v>2025-03-15</v>
      </c>
      <c r="C107" t="s">
        <v>35</v>
      </c>
      <c r="D107" t="s">
        <v>36</v>
      </c>
      <c r="E107">
        <v>20</v>
      </c>
      <c r="F107">
        <v>3</v>
      </c>
      <c r="G107">
        <v>60</v>
      </c>
      <c r="H107" t="s">
        <v>29</v>
      </c>
      <c r="I107" t="s">
        <v>81</v>
      </c>
      <c r="J107" t="s">
        <v>39</v>
      </c>
      <c r="K107" t="s">
        <v>23</v>
      </c>
      <c r="L107" t="str">
        <f t="shared" si="4"/>
        <v>OK</v>
      </c>
      <c r="M107" t="str">
        <f t="shared" si="5"/>
        <v>Mar</v>
      </c>
      <c r="N107" t="str">
        <f t="shared" si="6"/>
        <v>Saturday</v>
      </c>
      <c r="O107" t="str">
        <f t="shared" si="7"/>
        <v>Pending</v>
      </c>
    </row>
    <row r="108" spans="1:15" x14ac:dyDescent="0.35">
      <c r="A108" t="s">
        <v>160</v>
      </c>
      <c r="B108" s="1" t="d">
        <v>2025-03-19</v>
      </c>
      <c r="C108" t="s">
        <v>53</v>
      </c>
      <c r="D108" t="s">
        <v>36</v>
      </c>
      <c r="E108">
        <v>40</v>
      </c>
      <c r="F108">
        <v>3</v>
      </c>
      <c r="G108">
        <v>120</v>
      </c>
      <c r="H108" t="s">
        <v>29</v>
      </c>
      <c r="I108" t="s">
        <v>30</v>
      </c>
      <c r="J108" t="s">
        <v>31</v>
      </c>
      <c r="K108" t="s">
        <v>17</v>
      </c>
      <c r="L108" t="str">
        <f t="shared" si="4"/>
        <v>OK</v>
      </c>
      <c r="M108" t="str">
        <f t="shared" si="5"/>
        <v>Mar</v>
      </c>
      <c r="N108" t="str">
        <f t="shared" si="6"/>
        <v>Wednesday</v>
      </c>
      <c r="O108" t="str">
        <f t="shared" si="7"/>
        <v>Cancelled</v>
      </c>
    </row>
    <row r="109" spans="1:15" x14ac:dyDescent="0.35">
      <c r="A109" t="s">
        <v>161</v>
      </c>
      <c r="B109" s="1" t="d">
        <v>2025-03-16</v>
      </c>
      <c r="C109" t="s">
        <v>19</v>
      </c>
      <c r="D109" t="s">
        <v>20</v>
      </c>
      <c r="E109">
        <v>100</v>
      </c>
      <c r="F109">
        <v>2</v>
      </c>
      <c r="G109">
        <v>200</v>
      </c>
      <c r="H109" t="s">
        <v>57</v>
      </c>
      <c r="I109" t="s">
        <v>44</v>
      </c>
      <c r="J109" t="s">
        <v>39</v>
      </c>
      <c r="K109" t="s">
        <v>23</v>
      </c>
      <c r="L109" t="str">
        <f t="shared" si="4"/>
        <v>OK</v>
      </c>
      <c r="M109" t="str">
        <f t="shared" si="5"/>
        <v>Mar</v>
      </c>
      <c r="N109" t="str">
        <f t="shared" si="6"/>
        <v>Sunday</v>
      </c>
      <c r="O109" t="str">
        <f t="shared" si="7"/>
        <v>Pending</v>
      </c>
    </row>
    <row r="110" spans="1:15" x14ac:dyDescent="0.35">
      <c r="A110" t="s">
        <v>162</v>
      </c>
      <c r="B110" s="1" t="d">
        <v>2025-03-17</v>
      </c>
      <c r="C110" t="s">
        <v>53</v>
      </c>
      <c r="D110" t="s">
        <v>36</v>
      </c>
      <c r="E110">
        <v>40</v>
      </c>
      <c r="F110">
        <v>5</v>
      </c>
      <c r="G110">
        <v>200</v>
      </c>
      <c r="H110" t="s">
        <v>54</v>
      </c>
      <c r="I110" t="s">
        <v>15</v>
      </c>
      <c r="J110" t="s">
        <v>39</v>
      </c>
      <c r="K110" t="s">
        <v>40</v>
      </c>
      <c r="L110" t="str">
        <f t="shared" si="4"/>
        <v>OK</v>
      </c>
      <c r="M110" t="str">
        <f t="shared" si="5"/>
        <v>Mar</v>
      </c>
      <c r="N110" t="str">
        <f t="shared" si="6"/>
        <v>Monday</v>
      </c>
      <c r="O110" t="str">
        <f t="shared" si="7"/>
        <v>Delivered</v>
      </c>
    </row>
    <row r="111" spans="1:15" x14ac:dyDescent="0.35">
      <c r="A111" t="s">
        <v>163</v>
      </c>
      <c r="B111" s="1" t="d">
        <v>2025-02-18</v>
      </c>
      <c r="C111" t="s">
        <v>42</v>
      </c>
      <c r="D111" t="s">
        <v>20</v>
      </c>
      <c r="E111">
        <v>500</v>
      </c>
      <c r="F111">
        <v>5</v>
      </c>
      <c r="G111">
        <v>2500</v>
      </c>
      <c r="H111" t="s">
        <v>29</v>
      </c>
      <c r="I111" t="s">
        <v>30</v>
      </c>
      <c r="J111" t="s">
        <v>27</v>
      </c>
      <c r="K111" t="s">
        <v>23</v>
      </c>
      <c r="L111" t="str">
        <f t="shared" si="4"/>
        <v>OK</v>
      </c>
      <c r="M111" t="str">
        <f t="shared" si="5"/>
        <v>Feb</v>
      </c>
      <c r="N111" t="str">
        <f t="shared" si="6"/>
        <v>Tuesday</v>
      </c>
      <c r="O111" t="str">
        <f t="shared" si="7"/>
        <v>Pending</v>
      </c>
    </row>
    <row r="112" spans="1:15" x14ac:dyDescent="0.35">
      <c r="A112" t="s">
        <v>164</v>
      </c>
      <c r="B112" s="1" t="d">
        <v>2025-03-31</v>
      </c>
      <c r="C112" t="s">
        <v>56</v>
      </c>
      <c r="D112" t="s">
        <v>20</v>
      </c>
      <c r="E112">
        <v>800</v>
      </c>
      <c r="F112">
        <v>4</v>
      </c>
      <c r="G112">
        <v>3200</v>
      </c>
      <c r="H112" t="s">
        <v>14</v>
      </c>
      <c r="I112" t="s">
        <v>68</v>
      </c>
      <c r="J112" t="s">
        <v>31</v>
      </c>
      <c r="K112" t="s">
        <v>40</v>
      </c>
      <c r="L112" t="str">
        <f t="shared" si="4"/>
        <v>OK</v>
      </c>
      <c r="M112" t="str">
        <f t="shared" si="5"/>
        <v>Mar</v>
      </c>
      <c r="N112" t="str">
        <f t="shared" si="6"/>
        <v>Monday</v>
      </c>
      <c r="O112" t="str">
        <f t="shared" si="7"/>
        <v>Delivered</v>
      </c>
    </row>
    <row r="113" spans="1:15" x14ac:dyDescent="0.35">
      <c r="A113" t="s">
        <v>165</v>
      </c>
      <c r="B113" s="1" t="d">
        <v>2025-03-06</v>
      </c>
      <c r="C113" t="s">
        <v>60</v>
      </c>
      <c r="D113" t="s">
        <v>61</v>
      </c>
      <c r="E113">
        <v>600</v>
      </c>
      <c r="F113">
        <v>2</v>
      </c>
      <c r="G113">
        <v>1200</v>
      </c>
      <c r="H113" t="s">
        <v>51</v>
      </c>
      <c r="I113" t="s">
        <v>30</v>
      </c>
      <c r="J113" t="s">
        <v>58</v>
      </c>
      <c r="K113" t="s">
        <v>17</v>
      </c>
      <c r="L113" t="str">
        <f t="shared" si="4"/>
        <v>OK</v>
      </c>
      <c r="M113" t="str">
        <f t="shared" si="5"/>
        <v>Mar</v>
      </c>
      <c r="N113" t="str">
        <f t="shared" si="6"/>
        <v>Thursday</v>
      </c>
      <c r="O113" t="str">
        <f t="shared" si="7"/>
        <v>Cancelled</v>
      </c>
    </row>
    <row r="114" spans="1:15" x14ac:dyDescent="0.35">
      <c r="A114" t="s">
        <v>166</v>
      </c>
      <c r="B114" s="1" t="d">
        <v>2025-03-19</v>
      </c>
      <c r="C114" t="s">
        <v>49</v>
      </c>
      <c r="D114" t="s">
        <v>50</v>
      </c>
      <c r="E114">
        <v>15</v>
      </c>
      <c r="F114">
        <v>5</v>
      </c>
      <c r="G114">
        <v>75</v>
      </c>
      <c r="H114" t="s">
        <v>51</v>
      </c>
      <c r="I114" t="s">
        <v>22</v>
      </c>
      <c r="J114" t="s">
        <v>16</v>
      </c>
      <c r="K114" t="s">
        <v>23</v>
      </c>
      <c r="L114" t="str">
        <f t="shared" si="4"/>
        <v>OK</v>
      </c>
      <c r="M114" t="str">
        <f t="shared" si="5"/>
        <v>Mar</v>
      </c>
      <c r="N114" t="str">
        <f t="shared" si="6"/>
        <v>Wednesday</v>
      </c>
      <c r="O114" t="str">
        <f t="shared" si="7"/>
        <v>Pending</v>
      </c>
    </row>
    <row r="115" spans="1:15" x14ac:dyDescent="0.35">
      <c r="A115" t="s">
        <v>167</v>
      </c>
      <c r="B115" s="1" t="d">
        <v>2025-02-23</v>
      </c>
      <c r="C115" t="s">
        <v>12</v>
      </c>
      <c r="D115" t="s">
        <v>13</v>
      </c>
      <c r="E115">
        <v>60</v>
      </c>
      <c r="F115">
        <v>1</v>
      </c>
      <c r="G115">
        <v>60</v>
      </c>
      <c r="H115" t="s">
        <v>14</v>
      </c>
      <c r="I115" t="s">
        <v>38</v>
      </c>
      <c r="J115" t="s">
        <v>31</v>
      </c>
      <c r="K115" t="s">
        <v>23</v>
      </c>
      <c r="L115" t="str">
        <f t="shared" si="4"/>
        <v>OK</v>
      </c>
      <c r="M115" t="str">
        <f t="shared" si="5"/>
        <v>Feb</v>
      </c>
      <c r="N115" t="str">
        <f t="shared" si="6"/>
        <v>Sunday</v>
      </c>
      <c r="O115" t="str">
        <f t="shared" si="7"/>
        <v>Pending</v>
      </c>
    </row>
    <row r="116" spans="1:15" x14ac:dyDescent="0.35">
      <c r="A116" t="s">
        <v>168</v>
      </c>
      <c r="B116" s="1" t="d">
        <v>2025-03-21</v>
      </c>
      <c r="C116" t="s">
        <v>12</v>
      </c>
      <c r="D116" t="s">
        <v>13</v>
      </c>
      <c r="E116">
        <v>60</v>
      </c>
      <c r="F116">
        <v>3</v>
      </c>
      <c r="G116">
        <v>180</v>
      </c>
      <c r="H116" t="s">
        <v>29</v>
      </c>
      <c r="I116" t="s">
        <v>44</v>
      </c>
      <c r="J116" t="s">
        <v>27</v>
      </c>
      <c r="K116" t="s">
        <v>40</v>
      </c>
      <c r="L116" t="str">
        <f t="shared" si="4"/>
        <v>OK</v>
      </c>
      <c r="M116" t="str">
        <f t="shared" si="5"/>
        <v>Mar</v>
      </c>
      <c r="N116" t="str">
        <f t="shared" si="6"/>
        <v>Friday</v>
      </c>
      <c r="O116" t="str">
        <f t="shared" si="7"/>
        <v>Delivered</v>
      </c>
    </row>
    <row r="117" spans="1:15" x14ac:dyDescent="0.35">
      <c r="A117" t="s">
        <v>169</v>
      </c>
      <c r="B117" s="1" t="d">
        <v>2025-03-19</v>
      </c>
      <c r="C117" t="s">
        <v>56</v>
      </c>
      <c r="D117" t="s">
        <v>20</v>
      </c>
      <c r="E117">
        <v>800</v>
      </c>
      <c r="F117">
        <v>4</v>
      </c>
      <c r="G117">
        <v>3200</v>
      </c>
      <c r="H117" t="s">
        <v>14</v>
      </c>
      <c r="I117" t="s">
        <v>68</v>
      </c>
      <c r="J117" t="s">
        <v>27</v>
      </c>
      <c r="K117" t="s">
        <v>40</v>
      </c>
      <c r="L117" t="str">
        <f t="shared" si="4"/>
        <v>OK</v>
      </c>
      <c r="M117" t="str">
        <f t="shared" si="5"/>
        <v>Mar</v>
      </c>
      <c r="N117" t="str">
        <f t="shared" si="6"/>
        <v>Wednesday</v>
      </c>
      <c r="O117" t="str">
        <f t="shared" si="7"/>
        <v>Delivered</v>
      </c>
    </row>
    <row r="118" spans="1:15" x14ac:dyDescent="0.35">
      <c r="A118" t="s">
        <v>170</v>
      </c>
      <c r="B118" s="1" t="d">
        <v>2025-02-27</v>
      </c>
      <c r="C118" t="s">
        <v>35</v>
      </c>
      <c r="D118" t="s">
        <v>36</v>
      </c>
      <c r="E118">
        <v>20</v>
      </c>
      <c r="F118">
        <v>1</v>
      </c>
      <c r="G118">
        <v>20</v>
      </c>
      <c r="H118" t="s">
        <v>57</v>
      </c>
      <c r="I118" t="s">
        <v>15</v>
      </c>
      <c r="J118" t="s">
        <v>31</v>
      </c>
      <c r="K118" t="s">
        <v>40</v>
      </c>
      <c r="L118" t="str">
        <f t="shared" si="4"/>
        <v>OK</v>
      </c>
      <c r="M118" t="str">
        <f t="shared" si="5"/>
        <v>Feb</v>
      </c>
      <c r="N118" t="str">
        <f t="shared" si="6"/>
        <v>Thursday</v>
      </c>
      <c r="O118" t="str">
        <f t="shared" si="7"/>
        <v>Delivered</v>
      </c>
    </row>
    <row r="119" spans="1:15" x14ac:dyDescent="0.35">
      <c r="A119" t="s">
        <v>171</v>
      </c>
      <c r="B119" s="1" t="d">
        <v>2025-02-10</v>
      </c>
      <c r="C119" t="s">
        <v>19</v>
      </c>
      <c r="D119" t="s">
        <v>20</v>
      </c>
      <c r="E119">
        <v>100</v>
      </c>
      <c r="F119">
        <v>5</v>
      </c>
      <c r="G119">
        <v>500</v>
      </c>
      <c r="H119" t="s">
        <v>25</v>
      </c>
      <c r="I119" t="s">
        <v>38</v>
      </c>
      <c r="J119" t="s">
        <v>27</v>
      </c>
      <c r="K119" t="s">
        <v>40</v>
      </c>
      <c r="L119" t="str">
        <f t="shared" si="4"/>
        <v>OK</v>
      </c>
      <c r="M119" t="str">
        <f t="shared" si="5"/>
        <v>Feb</v>
      </c>
      <c r="N119" t="str">
        <f t="shared" si="6"/>
        <v>Monday</v>
      </c>
      <c r="O119" t="str">
        <f t="shared" si="7"/>
        <v>Delivered</v>
      </c>
    </row>
    <row r="120" spans="1:15" x14ac:dyDescent="0.35">
      <c r="A120" t="s">
        <v>172</v>
      </c>
      <c r="B120" s="1" t="d">
        <v>2025-03-16</v>
      </c>
      <c r="C120" t="s">
        <v>42</v>
      </c>
      <c r="D120" t="s">
        <v>20</v>
      </c>
      <c r="E120">
        <v>500</v>
      </c>
      <c r="F120">
        <v>2</v>
      </c>
      <c r="G120">
        <v>1000</v>
      </c>
      <c r="H120" t="s">
        <v>72</v>
      </c>
      <c r="I120" t="s">
        <v>81</v>
      </c>
      <c r="J120" t="s">
        <v>39</v>
      </c>
      <c r="K120" t="s">
        <v>23</v>
      </c>
      <c r="L120" t="str">
        <f t="shared" si="4"/>
        <v>OK</v>
      </c>
      <c r="M120" t="str">
        <f t="shared" si="5"/>
        <v>Mar</v>
      </c>
      <c r="N120" t="str">
        <f t="shared" si="6"/>
        <v>Sunday</v>
      </c>
      <c r="O120" t="str">
        <f t="shared" si="7"/>
        <v>Pending</v>
      </c>
    </row>
    <row r="121" spans="1:15" x14ac:dyDescent="0.35">
      <c r="A121" t="s">
        <v>173</v>
      </c>
      <c r="B121" s="1" t="d">
        <v>2025-02-16</v>
      </c>
      <c r="C121" t="s">
        <v>56</v>
      </c>
      <c r="D121" t="s">
        <v>20</v>
      </c>
      <c r="E121">
        <v>800</v>
      </c>
      <c r="F121">
        <v>5</v>
      </c>
      <c r="G121">
        <v>4000</v>
      </c>
      <c r="H121" t="s">
        <v>21</v>
      </c>
      <c r="I121" t="s">
        <v>26</v>
      </c>
      <c r="J121" t="s">
        <v>39</v>
      </c>
      <c r="K121" t="s">
        <v>40</v>
      </c>
      <c r="L121" t="str">
        <f t="shared" si="4"/>
        <v>OK</v>
      </c>
      <c r="M121" t="str">
        <f t="shared" si="5"/>
        <v>Feb</v>
      </c>
      <c r="N121" t="str">
        <f t="shared" si="6"/>
        <v>Sunday</v>
      </c>
      <c r="O121" t="str">
        <f t="shared" si="7"/>
        <v>Delivered</v>
      </c>
    </row>
    <row r="122" spans="1:15" x14ac:dyDescent="0.35">
      <c r="A122" t="s">
        <v>174</v>
      </c>
      <c r="B122" s="1" t="d">
        <v>2025-02-18</v>
      </c>
      <c r="C122" t="s">
        <v>42</v>
      </c>
      <c r="D122" t="s">
        <v>20</v>
      </c>
      <c r="E122">
        <v>500</v>
      </c>
      <c r="F122">
        <v>1</v>
      </c>
      <c r="G122">
        <v>500</v>
      </c>
      <c r="H122" t="s">
        <v>25</v>
      </c>
      <c r="I122" t="s">
        <v>30</v>
      </c>
      <c r="J122" t="s">
        <v>58</v>
      </c>
      <c r="K122" t="s">
        <v>23</v>
      </c>
      <c r="L122" t="str">
        <f t="shared" si="4"/>
        <v>OK</v>
      </c>
      <c r="M122" t="str">
        <f t="shared" si="5"/>
        <v>Feb</v>
      </c>
      <c r="N122" t="str">
        <f t="shared" si="6"/>
        <v>Tuesday</v>
      </c>
      <c r="O122" t="str">
        <f t="shared" si="7"/>
        <v>Pending</v>
      </c>
    </row>
    <row r="123" spans="1:15" x14ac:dyDescent="0.35">
      <c r="A123" t="s">
        <v>175</v>
      </c>
      <c r="B123" s="1" t="d">
        <v>2025-03-28</v>
      </c>
      <c r="C123" t="s">
        <v>56</v>
      </c>
      <c r="D123" t="s">
        <v>20</v>
      </c>
      <c r="E123">
        <v>800</v>
      </c>
      <c r="F123">
        <v>3</v>
      </c>
      <c r="G123">
        <v>2400</v>
      </c>
      <c r="H123" t="s">
        <v>25</v>
      </c>
      <c r="I123" t="s">
        <v>44</v>
      </c>
      <c r="J123" t="s">
        <v>31</v>
      </c>
      <c r="K123" t="s">
        <v>17</v>
      </c>
      <c r="L123" t="str">
        <f t="shared" si="4"/>
        <v>OK</v>
      </c>
      <c r="M123" t="str">
        <f t="shared" si="5"/>
        <v>Mar</v>
      </c>
      <c r="N123" t="str">
        <f t="shared" si="6"/>
        <v>Friday</v>
      </c>
      <c r="O123" t="str">
        <f t="shared" si="7"/>
        <v>Cancelled</v>
      </c>
    </row>
    <row r="124" spans="1:15" x14ac:dyDescent="0.35">
      <c r="A124" t="s">
        <v>176</v>
      </c>
      <c r="B124" s="1" t="d">
        <v>2025-02-23</v>
      </c>
      <c r="C124" t="s">
        <v>49</v>
      </c>
      <c r="D124" t="s">
        <v>50</v>
      </c>
      <c r="E124">
        <v>15</v>
      </c>
      <c r="F124">
        <v>3</v>
      </c>
      <c r="G124">
        <v>45</v>
      </c>
      <c r="H124" t="s">
        <v>72</v>
      </c>
      <c r="I124" t="s">
        <v>46</v>
      </c>
      <c r="J124" t="s">
        <v>58</v>
      </c>
      <c r="K124" t="s">
        <v>17</v>
      </c>
      <c r="L124" t="str">
        <f t="shared" si="4"/>
        <v>OK</v>
      </c>
      <c r="M124" t="str">
        <f t="shared" si="5"/>
        <v>Feb</v>
      </c>
      <c r="N124" t="str">
        <f t="shared" si="6"/>
        <v>Sunday</v>
      </c>
      <c r="O124" t="str">
        <f t="shared" si="7"/>
        <v>Cancelled</v>
      </c>
    </row>
    <row r="125" spans="1:15" x14ac:dyDescent="0.35">
      <c r="A125" t="s">
        <v>177</v>
      </c>
      <c r="B125" s="1" t="d">
        <v>2025-02-10</v>
      </c>
      <c r="C125" t="s">
        <v>49</v>
      </c>
      <c r="D125" t="s">
        <v>50</v>
      </c>
      <c r="E125">
        <v>15</v>
      </c>
      <c r="F125">
        <v>1</v>
      </c>
      <c r="G125">
        <v>15</v>
      </c>
      <c r="H125" t="s">
        <v>14</v>
      </c>
      <c r="I125" t="s">
        <v>63</v>
      </c>
      <c r="J125" t="s">
        <v>58</v>
      </c>
      <c r="K125" t="s">
        <v>23</v>
      </c>
      <c r="L125" t="str">
        <f t="shared" si="4"/>
        <v>OK</v>
      </c>
      <c r="M125" t="str">
        <f t="shared" si="5"/>
        <v>Feb</v>
      </c>
      <c r="N125" t="str">
        <f t="shared" si="6"/>
        <v>Monday</v>
      </c>
      <c r="O125" t="str">
        <f t="shared" si="7"/>
        <v>Pending</v>
      </c>
    </row>
    <row r="126" spans="1:15" x14ac:dyDescent="0.35">
      <c r="A126" t="s">
        <v>178</v>
      </c>
      <c r="B126" s="1" t="d">
        <v>2025-02-23</v>
      </c>
      <c r="C126" t="s">
        <v>42</v>
      </c>
      <c r="D126" t="s">
        <v>20</v>
      </c>
      <c r="E126">
        <v>500</v>
      </c>
      <c r="F126">
        <v>1</v>
      </c>
      <c r="G126">
        <v>500</v>
      </c>
      <c r="H126" t="s">
        <v>21</v>
      </c>
      <c r="I126" t="s">
        <v>26</v>
      </c>
      <c r="J126" t="s">
        <v>27</v>
      </c>
      <c r="K126" t="s">
        <v>40</v>
      </c>
      <c r="L126" t="str">
        <f t="shared" si="4"/>
        <v>OK</v>
      </c>
      <c r="M126" t="str">
        <f t="shared" si="5"/>
        <v>Feb</v>
      </c>
      <c r="N126" t="str">
        <f t="shared" si="6"/>
        <v>Sunday</v>
      </c>
      <c r="O126" t="str">
        <f t="shared" si="7"/>
        <v>Delivered</v>
      </c>
    </row>
    <row r="127" spans="1:15" x14ac:dyDescent="0.35">
      <c r="A127" t="s">
        <v>179</v>
      </c>
      <c r="B127" s="1" t="d">
        <v>2025-02-04</v>
      </c>
      <c r="C127" t="s">
        <v>65</v>
      </c>
      <c r="D127" t="s">
        <v>61</v>
      </c>
      <c r="E127">
        <v>1200</v>
      </c>
      <c r="F127">
        <v>5</v>
      </c>
      <c r="G127">
        <v>6000</v>
      </c>
      <c r="H127" t="s">
        <v>29</v>
      </c>
      <c r="I127" t="s">
        <v>81</v>
      </c>
      <c r="J127" t="s">
        <v>58</v>
      </c>
      <c r="K127" t="s">
        <v>23</v>
      </c>
      <c r="L127" t="str">
        <f t="shared" si="4"/>
        <v>OK</v>
      </c>
      <c r="M127" t="str">
        <f t="shared" si="5"/>
        <v>Feb</v>
      </c>
      <c r="N127" t="str">
        <f t="shared" si="6"/>
        <v>Tuesday</v>
      </c>
      <c r="O127" t="str">
        <f t="shared" si="7"/>
        <v>Pending</v>
      </c>
    </row>
    <row r="128" spans="1:15" x14ac:dyDescent="0.35">
      <c r="A128" t="s">
        <v>180</v>
      </c>
      <c r="B128" s="1" t="d">
        <v>2025-02-18</v>
      </c>
      <c r="C128" t="s">
        <v>35</v>
      </c>
      <c r="D128" t="s">
        <v>36</v>
      </c>
      <c r="E128">
        <v>20</v>
      </c>
      <c r="F128">
        <v>3</v>
      </c>
      <c r="G128">
        <v>60</v>
      </c>
      <c r="H128" t="s">
        <v>14</v>
      </c>
      <c r="I128" t="s">
        <v>30</v>
      </c>
      <c r="J128" t="s">
        <v>16</v>
      </c>
      <c r="K128" t="s">
        <v>40</v>
      </c>
      <c r="L128" t="str">
        <f t="shared" si="4"/>
        <v>OK</v>
      </c>
      <c r="M128" t="str">
        <f t="shared" si="5"/>
        <v>Feb</v>
      </c>
      <c r="N128" t="str">
        <f t="shared" si="6"/>
        <v>Tuesday</v>
      </c>
      <c r="O128" t="str">
        <f t="shared" si="7"/>
        <v>Delivered</v>
      </c>
    </row>
    <row r="129" spans="1:15" x14ac:dyDescent="0.35">
      <c r="A129" t="s">
        <v>181</v>
      </c>
      <c r="B129" s="1" t="d">
        <v>2025-03-23</v>
      </c>
      <c r="C129" t="s">
        <v>33</v>
      </c>
      <c r="D129" t="s">
        <v>20</v>
      </c>
      <c r="E129">
        <v>150</v>
      </c>
      <c r="F129">
        <v>2</v>
      </c>
      <c r="G129">
        <v>300</v>
      </c>
      <c r="H129" t="s">
        <v>21</v>
      </c>
      <c r="I129" t="s">
        <v>30</v>
      </c>
      <c r="J129" t="s">
        <v>39</v>
      </c>
      <c r="K129" t="s">
        <v>17</v>
      </c>
      <c r="L129" t="str">
        <f t="shared" si="4"/>
        <v>OK</v>
      </c>
      <c r="M129" t="str">
        <f t="shared" si="5"/>
        <v>Mar</v>
      </c>
      <c r="N129" t="str">
        <f t="shared" si="6"/>
        <v>Sunday</v>
      </c>
      <c r="O129" t="str">
        <f t="shared" si="7"/>
        <v>Cancelled</v>
      </c>
    </row>
    <row r="130" spans="1:15" x14ac:dyDescent="0.35">
      <c r="A130" t="s">
        <v>182</v>
      </c>
      <c r="B130" s="1" t="d">
        <v>2025-02-26</v>
      </c>
      <c r="C130" t="s">
        <v>53</v>
      </c>
      <c r="D130" t="s">
        <v>36</v>
      </c>
      <c r="E130">
        <v>40</v>
      </c>
      <c r="F130">
        <v>5</v>
      </c>
      <c r="G130">
        <v>200</v>
      </c>
      <c r="H130" t="s">
        <v>21</v>
      </c>
      <c r="I130" t="s">
        <v>15</v>
      </c>
      <c r="J130" t="s">
        <v>16</v>
      </c>
      <c r="K130" t="s">
        <v>23</v>
      </c>
      <c r="L130" t="str">
        <f t="shared" ref="L130:L193" si="8">IF(E130*F130=G130,"OK","CHECK")</f>
        <v>OK</v>
      </c>
      <c r="M130" t="str">
        <f t="shared" ref="M130:M193" si="9">TEXT(B130,"MMM")</f>
        <v>Feb</v>
      </c>
      <c r="N130" t="str">
        <f t="shared" ref="N130:N193" si="10">TEXT(B130,"dddd")</f>
        <v>Wednesday</v>
      </c>
      <c r="O130" t="str">
        <f t="shared" ref="O130:O193" si="11">IF(K130="Completed","Delivered",K130)</f>
        <v>Pending</v>
      </c>
    </row>
    <row r="131" spans="1:15" x14ac:dyDescent="0.35">
      <c r="A131" t="s">
        <v>183</v>
      </c>
      <c r="B131" s="1" t="d">
        <v>2025-02-10</v>
      </c>
      <c r="C131" t="s">
        <v>33</v>
      </c>
      <c r="D131" t="s">
        <v>20</v>
      </c>
      <c r="E131">
        <v>150</v>
      </c>
      <c r="F131">
        <v>5</v>
      </c>
      <c r="G131">
        <v>750</v>
      </c>
      <c r="H131" t="s">
        <v>51</v>
      </c>
      <c r="I131" t="s">
        <v>46</v>
      </c>
      <c r="J131" t="s">
        <v>39</v>
      </c>
      <c r="K131" t="s">
        <v>40</v>
      </c>
      <c r="L131" t="str">
        <f t="shared" si="8"/>
        <v>OK</v>
      </c>
      <c r="M131" t="str">
        <f t="shared" si="9"/>
        <v>Feb</v>
      </c>
      <c r="N131" t="str">
        <f t="shared" si="10"/>
        <v>Monday</v>
      </c>
      <c r="O131" t="str">
        <f t="shared" si="11"/>
        <v>Delivered</v>
      </c>
    </row>
    <row r="132" spans="1:15" x14ac:dyDescent="0.35">
      <c r="A132" t="s">
        <v>184</v>
      </c>
      <c r="B132" s="1" t="d">
        <v>2025-02-26</v>
      </c>
      <c r="C132" t="s">
        <v>53</v>
      </c>
      <c r="D132" t="s">
        <v>36</v>
      </c>
      <c r="E132">
        <v>40</v>
      </c>
      <c r="F132">
        <v>2</v>
      </c>
      <c r="G132">
        <v>80</v>
      </c>
      <c r="H132" t="s">
        <v>57</v>
      </c>
      <c r="I132" t="s">
        <v>81</v>
      </c>
      <c r="J132" t="s">
        <v>31</v>
      </c>
      <c r="K132" t="s">
        <v>23</v>
      </c>
      <c r="L132" t="str">
        <f t="shared" si="8"/>
        <v>OK</v>
      </c>
      <c r="M132" t="str">
        <f t="shared" si="9"/>
        <v>Feb</v>
      </c>
      <c r="N132" t="str">
        <f t="shared" si="10"/>
        <v>Wednesday</v>
      </c>
      <c r="O132" t="str">
        <f t="shared" si="11"/>
        <v>Pending</v>
      </c>
    </row>
    <row r="133" spans="1:15" x14ac:dyDescent="0.35">
      <c r="A133" t="s">
        <v>185</v>
      </c>
      <c r="B133" s="1" t="d">
        <v>2025-03-07</v>
      </c>
      <c r="C133" t="s">
        <v>42</v>
      </c>
      <c r="D133" t="s">
        <v>20</v>
      </c>
      <c r="E133">
        <v>500</v>
      </c>
      <c r="F133">
        <v>2</v>
      </c>
      <c r="G133">
        <v>1000</v>
      </c>
      <c r="H133" t="s">
        <v>29</v>
      </c>
      <c r="I133" t="s">
        <v>81</v>
      </c>
      <c r="J133" t="s">
        <v>16</v>
      </c>
      <c r="K133" t="s">
        <v>23</v>
      </c>
      <c r="L133" t="str">
        <f t="shared" si="8"/>
        <v>OK</v>
      </c>
      <c r="M133" t="str">
        <f t="shared" si="9"/>
        <v>Mar</v>
      </c>
      <c r="N133" t="str">
        <f t="shared" si="10"/>
        <v>Friday</v>
      </c>
      <c r="O133" t="str">
        <f t="shared" si="11"/>
        <v>Pending</v>
      </c>
    </row>
    <row r="134" spans="1:15" x14ac:dyDescent="0.35">
      <c r="A134" t="s">
        <v>186</v>
      </c>
      <c r="B134" s="1" t="d">
        <v>2025-02-23</v>
      </c>
      <c r="C134" t="s">
        <v>56</v>
      </c>
      <c r="D134" t="s">
        <v>20</v>
      </c>
      <c r="E134">
        <v>800</v>
      </c>
      <c r="F134">
        <v>1</v>
      </c>
      <c r="G134">
        <v>800</v>
      </c>
      <c r="H134" t="s">
        <v>21</v>
      </c>
      <c r="I134" t="s">
        <v>15</v>
      </c>
      <c r="J134" t="s">
        <v>27</v>
      </c>
      <c r="K134" t="s">
        <v>23</v>
      </c>
      <c r="L134" t="str">
        <f t="shared" si="8"/>
        <v>OK</v>
      </c>
      <c r="M134" t="str">
        <f t="shared" si="9"/>
        <v>Feb</v>
      </c>
      <c r="N134" t="str">
        <f t="shared" si="10"/>
        <v>Sunday</v>
      </c>
      <c r="O134" t="str">
        <f t="shared" si="11"/>
        <v>Pending</v>
      </c>
    </row>
    <row r="135" spans="1:15" x14ac:dyDescent="0.35">
      <c r="A135" t="s">
        <v>187</v>
      </c>
      <c r="B135" s="1" t="d">
        <v>2025-02-07</v>
      </c>
      <c r="C135" t="s">
        <v>42</v>
      </c>
      <c r="D135" t="s">
        <v>20</v>
      </c>
      <c r="E135">
        <v>500</v>
      </c>
      <c r="F135">
        <v>5</v>
      </c>
      <c r="G135">
        <v>2500</v>
      </c>
      <c r="H135" t="s">
        <v>51</v>
      </c>
      <c r="I135" t="s">
        <v>81</v>
      </c>
      <c r="J135" t="s">
        <v>58</v>
      </c>
      <c r="K135" t="s">
        <v>23</v>
      </c>
      <c r="L135" t="str">
        <f t="shared" si="8"/>
        <v>OK</v>
      </c>
      <c r="M135" t="str">
        <f t="shared" si="9"/>
        <v>Feb</v>
      </c>
      <c r="N135" t="str">
        <f t="shared" si="10"/>
        <v>Friday</v>
      </c>
      <c r="O135" t="str">
        <f t="shared" si="11"/>
        <v>Pending</v>
      </c>
    </row>
    <row r="136" spans="1:15" x14ac:dyDescent="0.35">
      <c r="A136" t="s">
        <v>188</v>
      </c>
      <c r="B136" s="1" t="d">
        <v>2025-02-10</v>
      </c>
      <c r="C136" t="s">
        <v>35</v>
      </c>
      <c r="D136" t="s">
        <v>36</v>
      </c>
      <c r="E136">
        <v>20</v>
      </c>
      <c r="F136">
        <v>1</v>
      </c>
      <c r="G136">
        <v>20</v>
      </c>
      <c r="H136" t="s">
        <v>29</v>
      </c>
      <c r="I136" t="s">
        <v>44</v>
      </c>
      <c r="J136" t="s">
        <v>31</v>
      </c>
      <c r="K136" t="s">
        <v>23</v>
      </c>
      <c r="L136" t="str">
        <f t="shared" si="8"/>
        <v>OK</v>
      </c>
      <c r="M136" t="str">
        <f t="shared" si="9"/>
        <v>Feb</v>
      </c>
      <c r="N136" t="str">
        <f t="shared" si="10"/>
        <v>Monday</v>
      </c>
      <c r="O136" t="str">
        <f t="shared" si="11"/>
        <v>Pending</v>
      </c>
    </row>
    <row r="137" spans="1:15" x14ac:dyDescent="0.35">
      <c r="A137" t="s">
        <v>189</v>
      </c>
      <c r="B137" s="1" t="d">
        <v>2025-02-11</v>
      </c>
      <c r="C137" t="s">
        <v>65</v>
      </c>
      <c r="D137" t="s">
        <v>61</v>
      </c>
      <c r="E137">
        <v>1200</v>
      </c>
      <c r="F137">
        <v>2</v>
      </c>
      <c r="G137">
        <v>2400</v>
      </c>
      <c r="H137" t="s">
        <v>57</v>
      </c>
      <c r="I137" t="s">
        <v>22</v>
      </c>
      <c r="J137" t="s">
        <v>39</v>
      </c>
      <c r="K137" t="s">
        <v>17</v>
      </c>
      <c r="L137" t="str">
        <f t="shared" si="8"/>
        <v>OK</v>
      </c>
      <c r="M137" t="str">
        <f t="shared" si="9"/>
        <v>Feb</v>
      </c>
      <c r="N137" t="str">
        <f t="shared" si="10"/>
        <v>Tuesday</v>
      </c>
      <c r="O137" t="str">
        <f t="shared" si="11"/>
        <v>Cancelled</v>
      </c>
    </row>
    <row r="138" spans="1:15" x14ac:dyDescent="0.35">
      <c r="A138" t="s">
        <v>190</v>
      </c>
      <c r="B138" s="1" t="d">
        <v>2025-03-20</v>
      </c>
      <c r="C138" t="s">
        <v>33</v>
      </c>
      <c r="D138" t="s">
        <v>20</v>
      </c>
      <c r="E138">
        <v>150</v>
      </c>
      <c r="F138">
        <v>3</v>
      </c>
      <c r="G138">
        <v>450</v>
      </c>
      <c r="H138" t="s">
        <v>43</v>
      </c>
      <c r="I138" t="s">
        <v>22</v>
      </c>
      <c r="J138" t="s">
        <v>16</v>
      </c>
      <c r="K138" t="s">
        <v>40</v>
      </c>
      <c r="L138" t="str">
        <f t="shared" si="8"/>
        <v>OK</v>
      </c>
      <c r="M138" t="str">
        <f t="shared" si="9"/>
        <v>Mar</v>
      </c>
      <c r="N138" t="str">
        <f t="shared" si="10"/>
        <v>Thursday</v>
      </c>
      <c r="O138" t="str">
        <f t="shared" si="11"/>
        <v>Delivered</v>
      </c>
    </row>
    <row r="139" spans="1:15" x14ac:dyDescent="0.35">
      <c r="A139" t="s">
        <v>191</v>
      </c>
      <c r="B139" s="1" t="d">
        <v>2025-02-11</v>
      </c>
      <c r="C139" t="s">
        <v>33</v>
      </c>
      <c r="D139" t="s">
        <v>20</v>
      </c>
      <c r="E139">
        <v>150</v>
      </c>
      <c r="F139">
        <v>5</v>
      </c>
      <c r="G139">
        <v>750</v>
      </c>
      <c r="H139" t="s">
        <v>25</v>
      </c>
      <c r="I139" t="s">
        <v>68</v>
      </c>
      <c r="J139" t="s">
        <v>31</v>
      </c>
      <c r="K139" t="s">
        <v>17</v>
      </c>
      <c r="L139" t="str">
        <f t="shared" si="8"/>
        <v>OK</v>
      </c>
      <c r="M139" t="str">
        <f t="shared" si="9"/>
        <v>Feb</v>
      </c>
      <c r="N139" t="str">
        <f t="shared" si="10"/>
        <v>Tuesday</v>
      </c>
      <c r="O139" t="str">
        <f t="shared" si="11"/>
        <v>Cancelled</v>
      </c>
    </row>
    <row r="140" spans="1:15" x14ac:dyDescent="0.35">
      <c r="A140" t="s">
        <v>192</v>
      </c>
      <c r="B140" s="1" t="d">
        <v>2025-03-18</v>
      </c>
      <c r="C140" t="s">
        <v>56</v>
      </c>
      <c r="D140" t="s">
        <v>20</v>
      </c>
      <c r="E140">
        <v>800</v>
      </c>
      <c r="F140">
        <v>2</v>
      </c>
      <c r="G140">
        <v>1600</v>
      </c>
      <c r="H140" t="s">
        <v>54</v>
      </c>
      <c r="I140" t="s">
        <v>26</v>
      </c>
      <c r="J140" t="s">
        <v>39</v>
      </c>
      <c r="K140" t="s">
        <v>17</v>
      </c>
      <c r="L140" t="str">
        <f t="shared" si="8"/>
        <v>OK</v>
      </c>
      <c r="M140" t="str">
        <f t="shared" si="9"/>
        <v>Mar</v>
      </c>
      <c r="N140" t="str">
        <f t="shared" si="10"/>
        <v>Tuesday</v>
      </c>
      <c r="O140" t="str">
        <f t="shared" si="11"/>
        <v>Cancelled</v>
      </c>
    </row>
    <row r="141" spans="1:15" x14ac:dyDescent="0.35">
      <c r="A141" t="s">
        <v>193</v>
      </c>
      <c r="B141" s="1" t="d">
        <v>2025-03-19</v>
      </c>
      <c r="C141" t="s">
        <v>33</v>
      </c>
      <c r="D141" t="s">
        <v>20</v>
      </c>
      <c r="E141">
        <v>150</v>
      </c>
      <c r="F141">
        <v>2</v>
      </c>
      <c r="G141">
        <v>300</v>
      </c>
      <c r="H141" t="s">
        <v>29</v>
      </c>
      <c r="I141" t="s">
        <v>44</v>
      </c>
      <c r="J141" t="s">
        <v>16</v>
      </c>
      <c r="K141" t="s">
        <v>40</v>
      </c>
      <c r="L141" t="str">
        <f t="shared" si="8"/>
        <v>OK</v>
      </c>
      <c r="M141" t="str">
        <f t="shared" si="9"/>
        <v>Mar</v>
      </c>
      <c r="N141" t="str">
        <f t="shared" si="10"/>
        <v>Wednesday</v>
      </c>
      <c r="O141" t="str">
        <f t="shared" si="11"/>
        <v>Delivered</v>
      </c>
    </row>
    <row r="142" spans="1:15" x14ac:dyDescent="0.35">
      <c r="A142" t="s">
        <v>194</v>
      </c>
      <c r="B142" s="1" t="d">
        <v>2025-03-21</v>
      </c>
      <c r="C142" t="s">
        <v>42</v>
      </c>
      <c r="D142" t="s">
        <v>20</v>
      </c>
      <c r="E142">
        <v>500</v>
      </c>
      <c r="F142">
        <v>2</v>
      </c>
      <c r="G142">
        <v>1000</v>
      </c>
      <c r="H142" t="s">
        <v>25</v>
      </c>
      <c r="I142" t="s">
        <v>44</v>
      </c>
      <c r="J142" t="s">
        <v>39</v>
      </c>
      <c r="K142" t="s">
        <v>40</v>
      </c>
      <c r="L142" t="str">
        <f t="shared" si="8"/>
        <v>OK</v>
      </c>
      <c r="M142" t="str">
        <f t="shared" si="9"/>
        <v>Mar</v>
      </c>
      <c r="N142" t="str">
        <f t="shared" si="10"/>
        <v>Friday</v>
      </c>
      <c r="O142" t="str">
        <f t="shared" si="11"/>
        <v>Delivered</v>
      </c>
    </row>
    <row r="143" spans="1:15" x14ac:dyDescent="0.35">
      <c r="A143" t="s">
        <v>195</v>
      </c>
      <c r="B143" s="1" t="d">
        <v>2025-03-15</v>
      </c>
      <c r="C143" t="s">
        <v>42</v>
      </c>
      <c r="D143" t="s">
        <v>20</v>
      </c>
      <c r="E143">
        <v>500</v>
      </c>
      <c r="F143">
        <v>3</v>
      </c>
      <c r="G143">
        <v>1500</v>
      </c>
      <c r="H143" t="s">
        <v>43</v>
      </c>
      <c r="I143" t="s">
        <v>44</v>
      </c>
      <c r="J143" t="s">
        <v>58</v>
      </c>
      <c r="K143" t="s">
        <v>40</v>
      </c>
      <c r="L143" t="str">
        <f t="shared" si="8"/>
        <v>OK</v>
      </c>
      <c r="M143" t="str">
        <f t="shared" si="9"/>
        <v>Mar</v>
      </c>
      <c r="N143" t="str">
        <f t="shared" si="10"/>
        <v>Saturday</v>
      </c>
      <c r="O143" t="str">
        <f t="shared" si="11"/>
        <v>Delivered</v>
      </c>
    </row>
    <row r="144" spans="1:15" x14ac:dyDescent="0.35">
      <c r="A144" t="s">
        <v>196</v>
      </c>
      <c r="B144" s="1" t="d">
        <v>2025-03-31</v>
      </c>
      <c r="C144" t="s">
        <v>65</v>
      </c>
      <c r="D144" t="s">
        <v>61</v>
      </c>
      <c r="E144">
        <v>1200</v>
      </c>
      <c r="F144">
        <v>2</v>
      </c>
      <c r="G144">
        <v>2400</v>
      </c>
      <c r="H144" t="s">
        <v>80</v>
      </c>
      <c r="I144" t="s">
        <v>30</v>
      </c>
      <c r="J144" t="s">
        <v>39</v>
      </c>
      <c r="K144" t="s">
        <v>17</v>
      </c>
      <c r="L144" t="str">
        <f t="shared" si="8"/>
        <v>OK</v>
      </c>
      <c r="M144" t="str">
        <f t="shared" si="9"/>
        <v>Mar</v>
      </c>
      <c r="N144" t="str">
        <f t="shared" si="10"/>
        <v>Monday</v>
      </c>
      <c r="O144" t="str">
        <f t="shared" si="11"/>
        <v>Cancelled</v>
      </c>
    </row>
    <row r="145" spans="1:15" x14ac:dyDescent="0.35">
      <c r="A145" t="s">
        <v>197</v>
      </c>
      <c r="B145" s="1" t="d">
        <v>2025-02-27</v>
      </c>
      <c r="C145" t="s">
        <v>53</v>
      </c>
      <c r="D145" t="s">
        <v>36</v>
      </c>
      <c r="E145">
        <v>40</v>
      </c>
      <c r="F145">
        <v>2</v>
      </c>
      <c r="G145">
        <v>80</v>
      </c>
      <c r="H145" t="s">
        <v>54</v>
      </c>
      <c r="I145" t="s">
        <v>68</v>
      </c>
      <c r="J145" t="s">
        <v>58</v>
      </c>
      <c r="K145" t="s">
        <v>17</v>
      </c>
      <c r="L145" t="str">
        <f t="shared" si="8"/>
        <v>OK</v>
      </c>
      <c r="M145" t="str">
        <f t="shared" si="9"/>
        <v>Feb</v>
      </c>
      <c r="N145" t="str">
        <f t="shared" si="10"/>
        <v>Thursday</v>
      </c>
      <c r="O145" t="str">
        <f t="shared" si="11"/>
        <v>Cancelled</v>
      </c>
    </row>
    <row r="146" spans="1:15" x14ac:dyDescent="0.35">
      <c r="A146" t="s">
        <v>198</v>
      </c>
      <c r="B146" s="1" t="d">
        <v>2025-03-08</v>
      </c>
      <c r="C146" t="s">
        <v>33</v>
      </c>
      <c r="D146" t="s">
        <v>20</v>
      </c>
      <c r="E146">
        <v>150</v>
      </c>
      <c r="F146">
        <v>2</v>
      </c>
      <c r="G146">
        <v>300</v>
      </c>
      <c r="H146" t="s">
        <v>54</v>
      </c>
      <c r="I146" t="s">
        <v>63</v>
      </c>
      <c r="J146" t="s">
        <v>16</v>
      </c>
      <c r="K146" t="s">
        <v>17</v>
      </c>
      <c r="L146" t="str">
        <f t="shared" si="8"/>
        <v>OK</v>
      </c>
      <c r="M146" t="str">
        <f t="shared" si="9"/>
        <v>Mar</v>
      </c>
      <c r="N146" t="str">
        <f t="shared" si="10"/>
        <v>Saturday</v>
      </c>
      <c r="O146" t="str">
        <f t="shared" si="11"/>
        <v>Cancelled</v>
      </c>
    </row>
    <row r="147" spans="1:15" x14ac:dyDescent="0.35">
      <c r="A147" t="s">
        <v>199</v>
      </c>
      <c r="B147" s="1" t="d">
        <v>2025-03-25</v>
      </c>
      <c r="C147" t="s">
        <v>33</v>
      </c>
      <c r="D147" t="s">
        <v>20</v>
      </c>
      <c r="E147">
        <v>150</v>
      </c>
      <c r="F147">
        <v>2</v>
      </c>
      <c r="G147">
        <v>300</v>
      </c>
      <c r="H147" t="s">
        <v>14</v>
      </c>
      <c r="I147" t="s">
        <v>46</v>
      </c>
      <c r="J147" t="s">
        <v>16</v>
      </c>
      <c r="K147" t="s">
        <v>40</v>
      </c>
      <c r="L147" t="str">
        <f t="shared" si="8"/>
        <v>OK</v>
      </c>
      <c r="M147" t="str">
        <f t="shared" si="9"/>
        <v>Mar</v>
      </c>
      <c r="N147" t="str">
        <f t="shared" si="10"/>
        <v>Tuesday</v>
      </c>
      <c r="O147" t="str">
        <f t="shared" si="11"/>
        <v>Delivered</v>
      </c>
    </row>
    <row r="148" spans="1:15" x14ac:dyDescent="0.35">
      <c r="A148" t="s">
        <v>200</v>
      </c>
      <c r="B148" s="1" t="d">
        <v>2025-02-05</v>
      </c>
      <c r="C148" t="s">
        <v>12</v>
      </c>
      <c r="D148" t="s">
        <v>13</v>
      </c>
      <c r="E148">
        <v>60</v>
      </c>
      <c r="F148">
        <v>5</v>
      </c>
      <c r="G148">
        <v>300</v>
      </c>
      <c r="H148" t="s">
        <v>80</v>
      </c>
      <c r="I148" t="s">
        <v>30</v>
      </c>
      <c r="J148" t="s">
        <v>39</v>
      </c>
      <c r="K148" t="s">
        <v>23</v>
      </c>
      <c r="L148" t="str">
        <f t="shared" si="8"/>
        <v>OK</v>
      </c>
      <c r="M148" t="str">
        <f t="shared" si="9"/>
        <v>Feb</v>
      </c>
      <c r="N148" t="str">
        <f t="shared" si="10"/>
        <v>Wednesday</v>
      </c>
      <c r="O148" t="str">
        <f t="shared" si="11"/>
        <v>Pending</v>
      </c>
    </row>
    <row r="149" spans="1:15" x14ac:dyDescent="0.35">
      <c r="A149" t="s">
        <v>201</v>
      </c>
      <c r="B149" s="1" t="d">
        <v>2025-02-06</v>
      </c>
      <c r="C149" t="s">
        <v>19</v>
      </c>
      <c r="D149" t="s">
        <v>20</v>
      </c>
      <c r="E149">
        <v>100</v>
      </c>
      <c r="F149">
        <v>4</v>
      </c>
      <c r="G149">
        <v>400</v>
      </c>
      <c r="H149" t="s">
        <v>21</v>
      </c>
      <c r="I149" t="s">
        <v>68</v>
      </c>
      <c r="J149" t="s">
        <v>27</v>
      </c>
      <c r="K149" t="s">
        <v>17</v>
      </c>
      <c r="L149" t="str">
        <f t="shared" si="8"/>
        <v>OK</v>
      </c>
      <c r="M149" t="str">
        <f t="shared" si="9"/>
        <v>Feb</v>
      </c>
      <c r="N149" t="str">
        <f t="shared" si="10"/>
        <v>Thursday</v>
      </c>
      <c r="O149" t="str">
        <f t="shared" si="11"/>
        <v>Cancelled</v>
      </c>
    </row>
    <row r="150" spans="1:15" x14ac:dyDescent="0.35">
      <c r="A150" t="s">
        <v>202</v>
      </c>
      <c r="B150" s="1" t="d">
        <v>2025-03-20</v>
      </c>
      <c r="C150" t="s">
        <v>12</v>
      </c>
      <c r="D150" t="s">
        <v>13</v>
      </c>
      <c r="E150">
        <v>60</v>
      </c>
      <c r="F150">
        <v>3</v>
      </c>
      <c r="G150">
        <v>180</v>
      </c>
      <c r="H150" t="s">
        <v>54</v>
      </c>
      <c r="I150" t="s">
        <v>15</v>
      </c>
      <c r="J150" t="s">
        <v>58</v>
      </c>
      <c r="K150" t="s">
        <v>23</v>
      </c>
      <c r="L150" t="str">
        <f t="shared" si="8"/>
        <v>OK</v>
      </c>
      <c r="M150" t="str">
        <f t="shared" si="9"/>
        <v>Mar</v>
      </c>
      <c r="N150" t="str">
        <f t="shared" si="10"/>
        <v>Thursday</v>
      </c>
      <c r="O150" t="str">
        <f t="shared" si="11"/>
        <v>Pending</v>
      </c>
    </row>
    <row r="151" spans="1:15" x14ac:dyDescent="0.35">
      <c r="A151" t="s">
        <v>203</v>
      </c>
      <c r="B151" s="1" t="d">
        <v>2025-02-08</v>
      </c>
      <c r="C151" t="s">
        <v>49</v>
      </c>
      <c r="D151" t="s">
        <v>50</v>
      </c>
      <c r="E151">
        <v>15</v>
      </c>
      <c r="F151">
        <v>4</v>
      </c>
      <c r="G151">
        <v>60</v>
      </c>
      <c r="H151" t="s">
        <v>57</v>
      </c>
      <c r="I151" t="s">
        <v>81</v>
      </c>
      <c r="J151" t="s">
        <v>58</v>
      </c>
      <c r="K151" t="s">
        <v>17</v>
      </c>
      <c r="L151" t="str">
        <f t="shared" si="8"/>
        <v>OK</v>
      </c>
      <c r="M151" t="str">
        <f t="shared" si="9"/>
        <v>Feb</v>
      </c>
      <c r="N151" t="str">
        <f t="shared" si="10"/>
        <v>Saturday</v>
      </c>
      <c r="O151" t="str">
        <f t="shared" si="11"/>
        <v>Cancelled</v>
      </c>
    </row>
    <row r="152" spans="1:15" x14ac:dyDescent="0.35">
      <c r="A152" t="s">
        <v>204</v>
      </c>
      <c r="B152" s="1" t="d">
        <v>2025-03-29</v>
      </c>
      <c r="C152" t="s">
        <v>60</v>
      </c>
      <c r="D152" t="s">
        <v>61</v>
      </c>
      <c r="E152">
        <v>600</v>
      </c>
      <c r="F152">
        <v>4</v>
      </c>
      <c r="G152">
        <v>2400</v>
      </c>
      <c r="H152" t="s">
        <v>80</v>
      </c>
      <c r="I152" t="s">
        <v>68</v>
      </c>
      <c r="J152" t="s">
        <v>27</v>
      </c>
      <c r="K152" t="s">
        <v>23</v>
      </c>
      <c r="L152" t="str">
        <f t="shared" si="8"/>
        <v>OK</v>
      </c>
      <c r="M152" t="str">
        <f t="shared" si="9"/>
        <v>Mar</v>
      </c>
      <c r="N152" t="str">
        <f t="shared" si="10"/>
        <v>Saturday</v>
      </c>
      <c r="O152" t="str">
        <f t="shared" si="11"/>
        <v>Pending</v>
      </c>
    </row>
    <row r="153" spans="1:15" x14ac:dyDescent="0.35">
      <c r="A153" t="s">
        <v>205</v>
      </c>
      <c r="B153" s="1" t="d">
        <v>2025-02-28</v>
      </c>
      <c r="C153" t="s">
        <v>33</v>
      </c>
      <c r="D153" t="s">
        <v>20</v>
      </c>
      <c r="E153">
        <v>150</v>
      </c>
      <c r="F153">
        <v>1</v>
      </c>
      <c r="G153">
        <v>150</v>
      </c>
      <c r="H153" t="s">
        <v>25</v>
      </c>
      <c r="I153" t="s">
        <v>63</v>
      </c>
      <c r="J153" t="s">
        <v>58</v>
      </c>
      <c r="K153" t="s">
        <v>40</v>
      </c>
      <c r="L153" t="str">
        <f t="shared" si="8"/>
        <v>OK</v>
      </c>
      <c r="M153" t="str">
        <f t="shared" si="9"/>
        <v>Feb</v>
      </c>
      <c r="N153" t="str">
        <f t="shared" si="10"/>
        <v>Friday</v>
      </c>
      <c r="O153" t="str">
        <f t="shared" si="11"/>
        <v>Delivered</v>
      </c>
    </row>
    <row r="154" spans="1:15" x14ac:dyDescent="0.35">
      <c r="A154" t="s">
        <v>206</v>
      </c>
      <c r="B154" s="1" t="d">
        <v>2025-02-23</v>
      </c>
      <c r="C154" t="s">
        <v>33</v>
      </c>
      <c r="D154" t="s">
        <v>20</v>
      </c>
      <c r="E154">
        <v>150</v>
      </c>
      <c r="F154">
        <v>5</v>
      </c>
      <c r="G154">
        <v>750</v>
      </c>
      <c r="H154" t="s">
        <v>43</v>
      </c>
      <c r="I154" t="s">
        <v>22</v>
      </c>
      <c r="J154" t="s">
        <v>39</v>
      </c>
      <c r="K154" t="s">
        <v>23</v>
      </c>
      <c r="L154" t="str">
        <f t="shared" si="8"/>
        <v>OK</v>
      </c>
      <c r="M154" t="str">
        <f t="shared" si="9"/>
        <v>Feb</v>
      </c>
      <c r="N154" t="str">
        <f t="shared" si="10"/>
        <v>Sunday</v>
      </c>
      <c r="O154" t="str">
        <f t="shared" si="11"/>
        <v>Pending</v>
      </c>
    </row>
    <row r="155" spans="1:15" x14ac:dyDescent="0.35">
      <c r="A155" t="s">
        <v>207</v>
      </c>
      <c r="B155" s="1" t="d">
        <v>2025-03-01</v>
      </c>
      <c r="C155" t="s">
        <v>19</v>
      </c>
      <c r="D155" t="s">
        <v>20</v>
      </c>
      <c r="E155">
        <v>100</v>
      </c>
      <c r="F155">
        <v>2</v>
      </c>
      <c r="G155">
        <v>200</v>
      </c>
      <c r="H155" t="s">
        <v>25</v>
      </c>
      <c r="I155" t="s">
        <v>26</v>
      </c>
      <c r="J155" t="s">
        <v>16</v>
      </c>
      <c r="K155" t="s">
        <v>40</v>
      </c>
      <c r="L155" t="str">
        <f t="shared" si="8"/>
        <v>OK</v>
      </c>
      <c r="M155" t="str">
        <f t="shared" si="9"/>
        <v>Mar</v>
      </c>
      <c r="N155" t="str">
        <f t="shared" si="10"/>
        <v>Saturday</v>
      </c>
      <c r="O155" t="str">
        <f t="shared" si="11"/>
        <v>Delivered</v>
      </c>
    </row>
    <row r="156" spans="1:15" x14ac:dyDescent="0.35">
      <c r="A156" t="s">
        <v>208</v>
      </c>
      <c r="B156" s="1" t="d">
        <v>2025-02-05</v>
      </c>
      <c r="C156" t="s">
        <v>65</v>
      </c>
      <c r="D156" t="s">
        <v>61</v>
      </c>
      <c r="E156">
        <v>1200</v>
      </c>
      <c r="F156">
        <v>4</v>
      </c>
      <c r="G156">
        <v>4800</v>
      </c>
      <c r="H156" t="s">
        <v>43</v>
      </c>
      <c r="I156" t="s">
        <v>63</v>
      </c>
      <c r="J156" t="s">
        <v>31</v>
      </c>
      <c r="K156" t="s">
        <v>23</v>
      </c>
      <c r="L156" t="str">
        <f t="shared" si="8"/>
        <v>OK</v>
      </c>
      <c r="M156" t="str">
        <f t="shared" si="9"/>
        <v>Feb</v>
      </c>
      <c r="N156" t="str">
        <f t="shared" si="10"/>
        <v>Wednesday</v>
      </c>
      <c r="O156" t="str">
        <f t="shared" si="11"/>
        <v>Pending</v>
      </c>
    </row>
    <row r="157" spans="1:15" x14ac:dyDescent="0.35">
      <c r="A157" t="s">
        <v>209</v>
      </c>
      <c r="B157" s="1" t="d">
        <v>2025-03-16</v>
      </c>
      <c r="C157" t="s">
        <v>33</v>
      </c>
      <c r="D157" t="s">
        <v>20</v>
      </c>
      <c r="E157">
        <v>150</v>
      </c>
      <c r="F157">
        <v>4</v>
      </c>
      <c r="G157">
        <v>600</v>
      </c>
      <c r="H157" t="s">
        <v>29</v>
      </c>
      <c r="I157" t="s">
        <v>44</v>
      </c>
      <c r="J157" t="s">
        <v>39</v>
      </c>
      <c r="K157" t="s">
        <v>17</v>
      </c>
      <c r="L157" t="str">
        <f t="shared" si="8"/>
        <v>OK</v>
      </c>
      <c r="M157" t="str">
        <f t="shared" si="9"/>
        <v>Mar</v>
      </c>
      <c r="N157" t="str">
        <f t="shared" si="10"/>
        <v>Sunday</v>
      </c>
      <c r="O157" t="str">
        <f t="shared" si="11"/>
        <v>Cancelled</v>
      </c>
    </row>
    <row r="158" spans="1:15" x14ac:dyDescent="0.35">
      <c r="A158" t="s">
        <v>210</v>
      </c>
      <c r="B158" s="1" t="d">
        <v>2025-02-08</v>
      </c>
      <c r="C158" t="s">
        <v>42</v>
      </c>
      <c r="D158" t="s">
        <v>20</v>
      </c>
      <c r="E158">
        <v>500</v>
      </c>
      <c r="F158">
        <v>3</v>
      </c>
      <c r="G158">
        <v>1500</v>
      </c>
      <c r="H158" t="s">
        <v>43</v>
      </c>
      <c r="I158" t="s">
        <v>26</v>
      </c>
      <c r="J158" t="s">
        <v>31</v>
      </c>
      <c r="K158" t="s">
        <v>23</v>
      </c>
      <c r="L158" t="str">
        <f t="shared" si="8"/>
        <v>OK</v>
      </c>
      <c r="M158" t="str">
        <f t="shared" si="9"/>
        <v>Feb</v>
      </c>
      <c r="N158" t="str">
        <f t="shared" si="10"/>
        <v>Saturday</v>
      </c>
      <c r="O158" t="str">
        <f t="shared" si="11"/>
        <v>Pending</v>
      </c>
    </row>
    <row r="159" spans="1:15" x14ac:dyDescent="0.35">
      <c r="A159" t="s">
        <v>211</v>
      </c>
      <c r="B159" s="1" t="d">
        <v>2025-02-24</v>
      </c>
      <c r="C159" t="s">
        <v>56</v>
      </c>
      <c r="D159" t="s">
        <v>20</v>
      </c>
      <c r="E159">
        <v>800</v>
      </c>
      <c r="F159">
        <v>3</v>
      </c>
      <c r="G159">
        <v>2400</v>
      </c>
      <c r="H159" t="s">
        <v>72</v>
      </c>
      <c r="I159" t="s">
        <v>44</v>
      </c>
      <c r="J159" t="s">
        <v>16</v>
      </c>
      <c r="K159" t="s">
        <v>23</v>
      </c>
      <c r="L159" t="str">
        <f t="shared" si="8"/>
        <v>OK</v>
      </c>
      <c r="M159" t="str">
        <f t="shared" si="9"/>
        <v>Feb</v>
      </c>
      <c r="N159" t="str">
        <f t="shared" si="10"/>
        <v>Monday</v>
      </c>
      <c r="O159" t="str">
        <f t="shared" si="11"/>
        <v>Pending</v>
      </c>
    </row>
    <row r="160" spans="1:15" x14ac:dyDescent="0.35">
      <c r="A160" t="s">
        <v>212</v>
      </c>
      <c r="B160" s="1" t="d">
        <v>2025-02-16</v>
      </c>
      <c r="C160" t="s">
        <v>35</v>
      </c>
      <c r="D160" t="s">
        <v>36</v>
      </c>
      <c r="E160">
        <v>20</v>
      </c>
      <c r="F160">
        <v>2</v>
      </c>
      <c r="G160">
        <v>40</v>
      </c>
      <c r="H160" t="s">
        <v>51</v>
      </c>
      <c r="I160" t="s">
        <v>30</v>
      </c>
      <c r="J160" t="s">
        <v>58</v>
      </c>
      <c r="K160" t="s">
        <v>17</v>
      </c>
      <c r="L160" t="str">
        <f t="shared" si="8"/>
        <v>OK</v>
      </c>
      <c r="M160" t="str">
        <f t="shared" si="9"/>
        <v>Feb</v>
      </c>
      <c r="N160" t="str">
        <f t="shared" si="10"/>
        <v>Sunday</v>
      </c>
      <c r="O160" t="str">
        <f t="shared" si="11"/>
        <v>Cancelled</v>
      </c>
    </row>
    <row r="161" spans="1:15" x14ac:dyDescent="0.35">
      <c r="A161" t="s">
        <v>213</v>
      </c>
      <c r="B161" s="1" t="d">
        <v>2025-02-06</v>
      </c>
      <c r="C161" t="s">
        <v>60</v>
      </c>
      <c r="D161" t="s">
        <v>61</v>
      </c>
      <c r="E161">
        <v>600</v>
      </c>
      <c r="F161">
        <v>3</v>
      </c>
      <c r="G161">
        <v>1800</v>
      </c>
      <c r="H161" t="s">
        <v>29</v>
      </c>
      <c r="I161" t="s">
        <v>26</v>
      </c>
      <c r="J161" t="s">
        <v>58</v>
      </c>
      <c r="K161" t="s">
        <v>17</v>
      </c>
      <c r="L161" t="str">
        <f t="shared" si="8"/>
        <v>OK</v>
      </c>
      <c r="M161" t="str">
        <f t="shared" si="9"/>
        <v>Feb</v>
      </c>
      <c r="N161" t="str">
        <f t="shared" si="10"/>
        <v>Thursday</v>
      </c>
      <c r="O161" t="str">
        <f t="shared" si="11"/>
        <v>Cancelled</v>
      </c>
    </row>
    <row r="162" spans="1:15" x14ac:dyDescent="0.35">
      <c r="A162" t="s">
        <v>214</v>
      </c>
      <c r="B162" s="1" t="d">
        <v>2025-02-22</v>
      </c>
      <c r="C162" t="s">
        <v>19</v>
      </c>
      <c r="D162" t="s">
        <v>20</v>
      </c>
      <c r="E162">
        <v>100</v>
      </c>
      <c r="F162">
        <v>1</v>
      </c>
      <c r="G162">
        <v>100</v>
      </c>
      <c r="H162" t="s">
        <v>21</v>
      </c>
      <c r="I162" t="s">
        <v>68</v>
      </c>
      <c r="J162" t="s">
        <v>31</v>
      </c>
      <c r="K162" t="s">
        <v>40</v>
      </c>
      <c r="L162" t="str">
        <f t="shared" si="8"/>
        <v>OK</v>
      </c>
      <c r="M162" t="str">
        <f t="shared" si="9"/>
        <v>Feb</v>
      </c>
      <c r="N162" t="str">
        <f t="shared" si="10"/>
        <v>Saturday</v>
      </c>
      <c r="O162" t="str">
        <f t="shared" si="11"/>
        <v>Delivered</v>
      </c>
    </row>
    <row r="163" spans="1:15" x14ac:dyDescent="0.35">
      <c r="A163" t="s">
        <v>215</v>
      </c>
      <c r="B163" s="1" t="d">
        <v>2025-02-09</v>
      </c>
      <c r="C163" t="s">
        <v>42</v>
      </c>
      <c r="D163" t="s">
        <v>20</v>
      </c>
      <c r="E163">
        <v>500</v>
      </c>
      <c r="F163">
        <v>2</v>
      </c>
      <c r="G163">
        <v>1000</v>
      </c>
      <c r="H163" t="s">
        <v>29</v>
      </c>
      <c r="I163" t="s">
        <v>81</v>
      </c>
      <c r="J163" t="s">
        <v>31</v>
      </c>
      <c r="K163" t="s">
        <v>40</v>
      </c>
      <c r="L163" t="str">
        <f t="shared" si="8"/>
        <v>OK</v>
      </c>
      <c r="M163" t="str">
        <f t="shared" si="9"/>
        <v>Feb</v>
      </c>
      <c r="N163" t="str">
        <f t="shared" si="10"/>
        <v>Sunday</v>
      </c>
      <c r="O163" t="str">
        <f t="shared" si="11"/>
        <v>Delivered</v>
      </c>
    </row>
    <row r="164" spans="1:15" x14ac:dyDescent="0.35">
      <c r="A164" t="s">
        <v>216</v>
      </c>
      <c r="B164" s="1" t="d">
        <v>2025-02-20</v>
      </c>
      <c r="C164" t="s">
        <v>12</v>
      </c>
      <c r="D164" t="s">
        <v>13</v>
      </c>
      <c r="E164">
        <v>60</v>
      </c>
      <c r="F164">
        <v>2</v>
      </c>
      <c r="G164">
        <v>120</v>
      </c>
      <c r="H164" t="s">
        <v>72</v>
      </c>
      <c r="I164" t="s">
        <v>38</v>
      </c>
      <c r="J164" t="s">
        <v>39</v>
      </c>
      <c r="K164" t="s">
        <v>40</v>
      </c>
      <c r="L164" t="str">
        <f t="shared" si="8"/>
        <v>OK</v>
      </c>
      <c r="M164" t="str">
        <f t="shared" si="9"/>
        <v>Feb</v>
      </c>
      <c r="N164" t="str">
        <f t="shared" si="10"/>
        <v>Thursday</v>
      </c>
      <c r="O164" t="str">
        <f t="shared" si="11"/>
        <v>Delivered</v>
      </c>
    </row>
    <row r="165" spans="1:15" x14ac:dyDescent="0.35">
      <c r="A165" t="s">
        <v>217</v>
      </c>
      <c r="B165" s="1" t="d">
        <v>2025-02-25</v>
      </c>
      <c r="C165" t="s">
        <v>33</v>
      </c>
      <c r="D165" t="s">
        <v>20</v>
      </c>
      <c r="E165">
        <v>150</v>
      </c>
      <c r="F165">
        <v>5</v>
      </c>
      <c r="G165">
        <v>750</v>
      </c>
      <c r="H165" t="s">
        <v>54</v>
      </c>
      <c r="I165" t="s">
        <v>46</v>
      </c>
      <c r="J165" t="s">
        <v>16</v>
      </c>
      <c r="K165" t="s">
        <v>23</v>
      </c>
      <c r="L165" t="str">
        <f t="shared" si="8"/>
        <v>OK</v>
      </c>
      <c r="M165" t="str">
        <f t="shared" si="9"/>
        <v>Feb</v>
      </c>
      <c r="N165" t="str">
        <f t="shared" si="10"/>
        <v>Tuesday</v>
      </c>
      <c r="O165" t="str">
        <f t="shared" si="11"/>
        <v>Pending</v>
      </c>
    </row>
    <row r="166" spans="1:15" x14ac:dyDescent="0.35">
      <c r="A166" t="s">
        <v>218</v>
      </c>
      <c r="B166" s="1" t="d">
        <v>2025-03-14</v>
      </c>
      <c r="C166" t="s">
        <v>49</v>
      </c>
      <c r="D166" t="s">
        <v>50</v>
      </c>
      <c r="E166">
        <v>15</v>
      </c>
      <c r="F166">
        <v>1</v>
      </c>
      <c r="G166">
        <v>15</v>
      </c>
      <c r="H166" t="s">
        <v>51</v>
      </c>
      <c r="I166" t="s">
        <v>15</v>
      </c>
      <c r="J166" t="s">
        <v>27</v>
      </c>
      <c r="K166" t="s">
        <v>23</v>
      </c>
      <c r="L166" t="str">
        <f t="shared" si="8"/>
        <v>OK</v>
      </c>
      <c r="M166" t="str">
        <f t="shared" si="9"/>
        <v>Mar</v>
      </c>
      <c r="N166" t="str">
        <f t="shared" si="10"/>
        <v>Friday</v>
      </c>
      <c r="O166" t="str">
        <f t="shared" si="11"/>
        <v>Pending</v>
      </c>
    </row>
    <row r="167" spans="1:15" x14ac:dyDescent="0.35">
      <c r="A167" t="s">
        <v>219</v>
      </c>
      <c r="B167" s="1" t="d">
        <v>2025-03-30</v>
      </c>
      <c r="C167" t="s">
        <v>60</v>
      </c>
      <c r="D167" t="s">
        <v>61</v>
      </c>
      <c r="E167">
        <v>600</v>
      </c>
      <c r="F167">
        <v>4</v>
      </c>
      <c r="G167">
        <v>2400</v>
      </c>
      <c r="H167" t="s">
        <v>72</v>
      </c>
      <c r="I167" t="s">
        <v>38</v>
      </c>
      <c r="J167" t="s">
        <v>31</v>
      </c>
      <c r="K167" t="s">
        <v>23</v>
      </c>
      <c r="L167" t="str">
        <f t="shared" si="8"/>
        <v>OK</v>
      </c>
      <c r="M167" t="str">
        <f t="shared" si="9"/>
        <v>Mar</v>
      </c>
      <c r="N167" t="str">
        <f t="shared" si="10"/>
        <v>Sunday</v>
      </c>
      <c r="O167" t="str">
        <f t="shared" si="11"/>
        <v>Pending</v>
      </c>
    </row>
    <row r="168" spans="1:15" x14ac:dyDescent="0.35">
      <c r="A168" t="s">
        <v>220</v>
      </c>
      <c r="B168" s="1" t="d">
        <v>2025-03-20</v>
      </c>
      <c r="C168" t="s">
        <v>65</v>
      </c>
      <c r="D168" t="s">
        <v>61</v>
      </c>
      <c r="E168">
        <v>1200</v>
      </c>
      <c r="F168">
        <v>2</v>
      </c>
      <c r="G168">
        <v>2400</v>
      </c>
      <c r="H168" t="s">
        <v>29</v>
      </c>
      <c r="I168" t="s">
        <v>63</v>
      </c>
      <c r="J168" t="s">
        <v>31</v>
      </c>
      <c r="K168" t="s">
        <v>40</v>
      </c>
      <c r="L168" t="str">
        <f t="shared" si="8"/>
        <v>OK</v>
      </c>
      <c r="M168" t="str">
        <f t="shared" si="9"/>
        <v>Mar</v>
      </c>
      <c r="N168" t="str">
        <f t="shared" si="10"/>
        <v>Thursday</v>
      </c>
      <c r="O168" t="str">
        <f t="shared" si="11"/>
        <v>Delivered</v>
      </c>
    </row>
    <row r="169" spans="1:15" x14ac:dyDescent="0.35">
      <c r="A169" t="s">
        <v>221</v>
      </c>
      <c r="B169" s="1" t="d">
        <v>2025-03-24</v>
      </c>
      <c r="C169" t="s">
        <v>56</v>
      </c>
      <c r="D169" t="s">
        <v>20</v>
      </c>
      <c r="E169">
        <v>800</v>
      </c>
      <c r="F169">
        <v>5</v>
      </c>
      <c r="G169">
        <v>4000</v>
      </c>
      <c r="H169" t="s">
        <v>54</v>
      </c>
      <c r="I169" t="s">
        <v>44</v>
      </c>
      <c r="J169" t="s">
        <v>16</v>
      </c>
      <c r="K169" t="s">
        <v>23</v>
      </c>
      <c r="L169" t="str">
        <f t="shared" si="8"/>
        <v>OK</v>
      </c>
      <c r="M169" t="str">
        <f t="shared" si="9"/>
        <v>Mar</v>
      </c>
      <c r="N169" t="str">
        <f t="shared" si="10"/>
        <v>Monday</v>
      </c>
      <c r="O169" t="str">
        <f t="shared" si="11"/>
        <v>Pending</v>
      </c>
    </row>
    <row r="170" spans="1:15" x14ac:dyDescent="0.35">
      <c r="A170" t="s">
        <v>222</v>
      </c>
      <c r="B170" s="1" t="d">
        <v>2025-03-06</v>
      </c>
      <c r="C170" t="s">
        <v>65</v>
      </c>
      <c r="D170" t="s">
        <v>61</v>
      </c>
      <c r="E170">
        <v>1200</v>
      </c>
      <c r="F170">
        <v>2</v>
      </c>
      <c r="G170">
        <v>2400</v>
      </c>
      <c r="H170" t="s">
        <v>25</v>
      </c>
      <c r="I170" t="s">
        <v>26</v>
      </c>
      <c r="J170" t="s">
        <v>39</v>
      </c>
      <c r="K170" t="s">
        <v>40</v>
      </c>
      <c r="L170" t="str">
        <f t="shared" si="8"/>
        <v>OK</v>
      </c>
      <c r="M170" t="str">
        <f t="shared" si="9"/>
        <v>Mar</v>
      </c>
      <c r="N170" t="str">
        <f t="shared" si="10"/>
        <v>Thursday</v>
      </c>
      <c r="O170" t="str">
        <f t="shared" si="11"/>
        <v>Delivered</v>
      </c>
    </row>
    <row r="171" spans="1:15" x14ac:dyDescent="0.35">
      <c r="A171" t="s">
        <v>223</v>
      </c>
      <c r="B171" s="1" t="d">
        <v>2025-02-28</v>
      </c>
      <c r="C171" t="s">
        <v>56</v>
      </c>
      <c r="D171" t="s">
        <v>20</v>
      </c>
      <c r="E171">
        <v>800</v>
      </c>
      <c r="F171">
        <v>1</v>
      </c>
      <c r="G171">
        <v>800</v>
      </c>
      <c r="H171" t="s">
        <v>14</v>
      </c>
      <c r="I171" t="s">
        <v>22</v>
      </c>
      <c r="J171" t="s">
        <v>58</v>
      </c>
      <c r="K171" t="s">
        <v>23</v>
      </c>
      <c r="L171" t="str">
        <f t="shared" si="8"/>
        <v>OK</v>
      </c>
      <c r="M171" t="str">
        <f t="shared" si="9"/>
        <v>Feb</v>
      </c>
      <c r="N171" t="str">
        <f t="shared" si="10"/>
        <v>Friday</v>
      </c>
      <c r="O171" t="str">
        <f t="shared" si="11"/>
        <v>Pending</v>
      </c>
    </row>
    <row r="172" spans="1:15" x14ac:dyDescent="0.35">
      <c r="A172" t="s">
        <v>224</v>
      </c>
      <c r="B172" s="1" t="d">
        <v>2025-02-28</v>
      </c>
      <c r="C172" t="s">
        <v>33</v>
      </c>
      <c r="D172" t="s">
        <v>20</v>
      </c>
      <c r="E172">
        <v>150</v>
      </c>
      <c r="F172">
        <v>2</v>
      </c>
      <c r="G172">
        <v>300</v>
      </c>
      <c r="H172" t="s">
        <v>57</v>
      </c>
      <c r="I172" t="s">
        <v>38</v>
      </c>
      <c r="J172" t="s">
        <v>39</v>
      </c>
      <c r="K172" t="s">
        <v>40</v>
      </c>
      <c r="L172" t="str">
        <f t="shared" si="8"/>
        <v>OK</v>
      </c>
      <c r="M172" t="str">
        <f t="shared" si="9"/>
        <v>Feb</v>
      </c>
      <c r="N172" t="str">
        <f t="shared" si="10"/>
        <v>Friday</v>
      </c>
      <c r="O172" t="str">
        <f t="shared" si="11"/>
        <v>Delivered</v>
      </c>
    </row>
    <row r="173" spans="1:15" x14ac:dyDescent="0.35">
      <c r="A173" t="s">
        <v>225</v>
      </c>
      <c r="B173" s="1" t="d">
        <v>2025-03-12</v>
      </c>
      <c r="C173" t="s">
        <v>49</v>
      </c>
      <c r="D173" t="s">
        <v>50</v>
      </c>
      <c r="E173">
        <v>15</v>
      </c>
      <c r="F173">
        <v>1</v>
      </c>
      <c r="G173">
        <v>15</v>
      </c>
      <c r="H173" t="s">
        <v>51</v>
      </c>
      <c r="I173" t="s">
        <v>44</v>
      </c>
      <c r="J173" t="s">
        <v>16</v>
      </c>
      <c r="K173" t="s">
        <v>17</v>
      </c>
      <c r="L173" t="str">
        <f t="shared" si="8"/>
        <v>OK</v>
      </c>
      <c r="M173" t="str">
        <f t="shared" si="9"/>
        <v>Mar</v>
      </c>
      <c r="N173" t="str">
        <f t="shared" si="10"/>
        <v>Wednesday</v>
      </c>
      <c r="O173" t="str">
        <f t="shared" si="11"/>
        <v>Cancelled</v>
      </c>
    </row>
    <row r="174" spans="1:15" x14ac:dyDescent="0.35">
      <c r="A174" t="s">
        <v>226</v>
      </c>
      <c r="B174" s="1" t="d">
        <v>2025-02-28</v>
      </c>
      <c r="C174" t="s">
        <v>65</v>
      </c>
      <c r="D174" t="s">
        <v>61</v>
      </c>
      <c r="E174">
        <v>1200</v>
      </c>
      <c r="F174">
        <v>1</v>
      </c>
      <c r="G174">
        <v>1200</v>
      </c>
      <c r="H174" t="s">
        <v>29</v>
      </c>
      <c r="I174" t="s">
        <v>63</v>
      </c>
      <c r="J174" t="s">
        <v>39</v>
      </c>
      <c r="K174" t="s">
        <v>40</v>
      </c>
      <c r="L174" t="str">
        <f t="shared" si="8"/>
        <v>OK</v>
      </c>
      <c r="M174" t="str">
        <f t="shared" si="9"/>
        <v>Feb</v>
      </c>
      <c r="N174" t="str">
        <f t="shared" si="10"/>
        <v>Friday</v>
      </c>
      <c r="O174" t="str">
        <f t="shared" si="11"/>
        <v>Delivered</v>
      </c>
    </row>
    <row r="175" spans="1:15" x14ac:dyDescent="0.35">
      <c r="A175" t="s">
        <v>227</v>
      </c>
      <c r="B175" s="1" t="d">
        <v>2025-03-13</v>
      </c>
      <c r="C175" t="s">
        <v>33</v>
      </c>
      <c r="D175" t="s">
        <v>20</v>
      </c>
      <c r="E175">
        <v>150</v>
      </c>
      <c r="F175">
        <v>2</v>
      </c>
      <c r="G175">
        <v>300</v>
      </c>
      <c r="H175" t="s">
        <v>51</v>
      </c>
      <c r="I175" t="s">
        <v>81</v>
      </c>
      <c r="J175" t="s">
        <v>16</v>
      </c>
      <c r="K175" t="s">
        <v>23</v>
      </c>
      <c r="L175" t="str">
        <f t="shared" si="8"/>
        <v>OK</v>
      </c>
      <c r="M175" t="str">
        <f t="shared" si="9"/>
        <v>Mar</v>
      </c>
      <c r="N175" t="str">
        <f t="shared" si="10"/>
        <v>Thursday</v>
      </c>
      <c r="O175" t="str">
        <f t="shared" si="11"/>
        <v>Pending</v>
      </c>
    </row>
    <row r="176" spans="1:15" x14ac:dyDescent="0.35">
      <c r="A176" t="s">
        <v>228</v>
      </c>
      <c r="B176" s="1" t="d">
        <v>2025-03-24</v>
      </c>
      <c r="C176" t="s">
        <v>53</v>
      </c>
      <c r="D176" t="s">
        <v>36</v>
      </c>
      <c r="E176">
        <v>40</v>
      </c>
      <c r="F176">
        <v>5</v>
      </c>
      <c r="G176">
        <v>200</v>
      </c>
      <c r="H176" t="s">
        <v>51</v>
      </c>
      <c r="I176" t="s">
        <v>15</v>
      </c>
      <c r="J176" t="s">
        <v>16</v>
      </c>
      <c r="K176" t="s">
        <v>17</v>
      </c>
      <c r="L176" t="str">
        <f t="shared" si="8"/>
        <v>OK</v>
      </c>
      <c r="M176" t="str">
        <f t="shared" si="9"/>
        <v>Mar</v>
      </c>
      <c r="N176" t="str">
        <f t="shared" si="10"/>
        <v>Monday</v>
      </c>
      <c r="O176" t="str">
        <f t="shared" si="11"/>
        <v>Cancelled</v>
      </c>
    </row>
    <row r="177" spans="1:15" x14ac:dyDescent="0.35">
      <c r="A177" t="s">
        <v>229</v>
      </c>
      <c r="B177" s="1" t="d">
        <v>2025-03-27</v>
      </c>
      <c r="C177" t="s">
        <v>49</v>
      </c>
      <c r="D177" t="s">
        <v>50</v>
      </c>
      <c r="E177">
        <v>15</v>
      </c>
      <c r="F177">
        <v>1</v>
      </c>
      <c r="G177">
        <v>15</v>
      </c>
      <c r="H177" t="s">
        <v>54</v>
      </c>
      <c r="I177" t="s">
        <v>46</v>
      </c>
      <c r="J177" t="s">
        <v>27</v>
      </c>
      <c r="K177" t="s">
        <v>40</v>
      </c>
      <c r="L177" t="str">
        <f t="shared" si="8"/>
        <v>OK</v>
      </c>
      <c r="M177" t="str">
        <f t="shared" si="9"/>
        <v>Mar</v>
      </c>
      <c r="N177" t="str">
        <f t="shared" si="10"/>
        <v>Thursday</v>
      </c>
      <c r="O177" t="str">
        <f t="shared" si="11"/>
        <v>Delivered</v>
      </c>
    </row>
    <row r="178" spans="1:15" x14ac:dyDescent="0.35">
      <c r="A178" t="s">
        <v>230</v>
      </c>
      <c r="B178" s="1" t="d">
        <v>2025-03-14</v>
      </c>
      <c r="C178" t="s">
        <v>49</v>
      </c>
      <c r="D178" t="s">
        <v>50</v>
      </c>
      <c r="E178">
        <v>15</v>
      </c>
      <c r="F178">
        <v>5</v>
      </c>
      <c r="G178">
        <v>75</v>
      </c>
      <c r="H178" t="s">
        <v>51</v>
      </c>
      <c r="I178" t="s">
        <v>22</v>
      </c>
      <c r="J178" t="s">
        <v>31</v>
      </c>
      <c r="K178" t="s">
        <v>23</v>
      </c>
      <c r="L178" t="str">
        <f t="shared" si="8"/>
        <v>OK</v>
      </c>
      <c r="M178" t="str">
        <f t="shared" si="9"/>
        <v>Mar</v>
      </c>
      <c r="N178" t="str">
        <f t="shared" si="10"/>
        <v>Friday</v>
      </c>
      <c r="O178" t="str">
        <f t="shared" si="11"/>
        <v>Pending</v>
      </c>
    </row>
    <row r="179" spans="1:15" x14ac:dyDescent="0.35">
      <c r="A179" t="s">
        <v>231</v>
      </c>
      <c r="B179" s="1" t="d">
        <v>2025-02-06</v>
      </c>
      <c r="C179" t="s">
        <v>42</v>
      </c>
      <c r="D179" t="s">
        <v>20</v>
      </c>
      <c r="E179">
        <v>500</v>
      </c>
      <c r="F179">
        <v>3</v>
      </c>
      <c r="G179">
        <v>1500</v>
      </c>
      <c r="H179" t="s">
        <v>21</v>
      </c>
      <c r="I179" t="s">
        <v>81</v>
      </c>
      <c r="J179" t="s">
        <v>39</v>
      </c>
      <c r="K179" t="s">
        <v>40</v>
      </c>
      <c r="L179" t="str">
        <f t="shared" si="8"/>
        <v>OK</v>
      </c>
      <c r="M179" t="str">
        <f t="shared" si="9"/>
        <v>Feb</v>
      </c>
      <c r="N179" t="str">
        <f t="shared" si="10"/>
        <v>Thursday</v>
      </c>
      <c r="O179" t="str">
        <f t="shared" si="11"/>
        <v>Delivered</v>
      </c>
    </row>
    <row r="180" spans="1:15" x14ac:dyDescent="0.35">
      <c r="A180" t="s">
        <v>232</v>
      </c>
      <c r="B180" s="1" t="d">
        <v>2025-03-25</v>
      </c>
      <c r="C180" t="s">
        <v>53</v>
      </c>
      <c r="D180" t="s">
        <v>36</v>
      </c>
      <c r="E180">
        <v>40</v>
      </c>
      <c r="F180">
        <v>1</v>
      </c>
      <c r="G180">
        <v>40</v>
      </c>
      <c r="H180" t="s">
        <v>29</v>
      </c>
      <c r="I180" t="s">
        <v>63</v>
      </c>
      <c r="J180" t="s">
        <v>39</v>
      </c>
      <c r="K180" t="s">
        <v>17</v>
      </c>
      <c r="L180" t="str">
        <f t="shared" si="8"/>
        <v>OK</v>
      </c>
      <c r="M180" t="str">
        <f t="shared" si="9"/>
        <v>Mar</v>
      </c>
      <c r="N180" t="str">
        <f t="shared" si="10"/>
        <v>Tuesday</v>
      </c>
      <c r="O180" t="str">
        <f t="shared" si="11"/>
        <v>Cancelled</v>
      </c>
    </row>
    <row r="181" spans="1:15" x14ac:dyDescent="0.35">
      <c r="A181" t="s">
        <v>233</v>
      </c>
      <c r="B181" s="1" t="d">
        <v>2025-03-04</v>
      </c>
      <c r="C181" t="s">
        <v>65</v>
      </c>
      <c r="D181" t="s">
        <v>61</v>
      </c>
      <c r="E181">
        <v>1200</v>
      </c>
      <c r="F181">
        <v>3</v>
      </c>
      <c r="G181">
        <v>3600</v>
      </c>
      <c r="H181" t="s">
        <v>51</v>
      </c>
      <c r="I181" t="s">
        <v>46</v>
      </c>
      <c r="J181" t="s">
        <v>58</v>
      </c>
      <c r="K181" t="s">
        <v>40</v>
      </c>
      <c r="L181" t="str">
        <f t="shared" si="8"/>
        <v>OK</v>
      </c>
      <c r="M181" t="str">
        <f t="shared" si="9"/>
        <v>Mar</v>
      </c>
      <c r="N181" t="str">
        <f t="shared" si="10"/>
        <v>Tuesday</v>
      </c>
      <c r="O181" t="str">
        <f t="shared" si="11"/>
        <v>Delivered</v>
      </c>
    </row>
    <row r="182" spans="1:15" x14ac:dyDescent="0.35">
      <c r="A182" t="s">
        <v>234</v>
      </c>
      <c r="B182" s="1" t="d">
        <v>2025-03-03</v>
      </c>
      <c r="C182" t="s">
        <v>12</v>
      </c>
      <c r="D182" t="s">
        <v>13</v>
      </c>
      <c r="E182">
        <v>60</v>
      </c>
      <c r="F182">
        <v>2</v>
      </c>
      <c r="G182">
        <v>120</v>
      </c>
      <c r="H182" t="s">
        <v>51</v>
      </c>
      <c r="I182" t="s">
        <v>68</v>
      </c>
      <c r="J182" t="s">
        <v>16</v>
      </c>
      <c r="K182" t="s">
        <v>17</v>
      </c>
      <c r="L182" t="str">
        <f t="shared" si="8"/>
        <v>OK</v>
      </c>
      <c r="M182" t="str">
        <f t="shared" si="9"/>
        <v>Mar</v>
      </c>
      <c r="N182" t="str">
        <f t="shared" si="10"/>
        <v>Monday</v>
      </c>
      <c r="O182" t="str">
        <f t="shared" si="11"/>
        <v>Cancelled</v>
      </c>
    </row>
    <row r="183" spans="1:15" x14ac:dyDescent="0.35">
      <c r="A183" t="s">
        <v>235</v>
      </c>
      <c r="B183" s="1" t="d">
        <v>2025-04-02</v>
      </c>
      <c r="C183" t="s">
        <v>35</v>
      </c>
      <c r="D183" t="s">
        <v>36</v>
      </c>
      <c r="E183">
        <v>20</v>
      </c>
      <c r="F183">
        <v>5</v>
      </c>
      <c r="G183">
        <v>100</v>
      </c>
      <c r="H183" t="s">
        <v>14</v>
      </c>
      <c r="I183" t="s">
        <v>26</v>
      </c>
      <c r="J183" t="s">
        <v>39</v>
      </c>
      <c r="K183" t="s">
        <v>40</v>
      </c>
      <c r="L183" t="str">
        <f t="shared" si="8"/>
        <v>OK</v>
      </c>
      <c r="M183" t="str">
        <f t="shared" si="9"/>
        <v>Apr</v>
      </c>
      <c r="N183" t="str">
        <f t="shared" si="10"/>
        <v>Wednesday</v>
      </c>
      <c r="O183" t="str">
        <f t="shared" si="11"/>
        <v>Delivered</v>
      </c>
    </row>
    <row r="184" spans="1:15" x14ac:dyDescent="0.35">
      <c r="A184" t="s">
        <v>236</v>
      </c>
      <c r="B184" s="1" t="d">
        <v>2025-03-25</v>
      </c>
      <c r="C184" t="s">
        <v>60</v>
      </c>
      <c r="D184" t="s">
        <v>61</v>
      </c>
      <c r="E184">
        <v>600</v>
      </c>
      <c r="F184">
        <v>1</v>
      </c>
      <c r="G184">
        <v>600</v>
      </c>
      <c r="H184" t="s">
        <v>14</v>
      </c>
      <c r="I184" t="s">
        <v>63</v>
      </c>
      <c r="J184" t="s">
        <v>16</v>
      </c>
      <c r="K184" t="s">
        <v>23</v>
      </c>
      <c r="L184" t="str">
        <f t="shared" si="8"/>
        <v>OK</v>
      </c>
      <c r="M184" t="str">
        <f t="shared" si="9"/>
        <v>Mar</v>
      </c>
      <c r="N184" t="str">
        <f t="shared" si="10"/>
        <v>Tuesday</v>
      </c>
      <c r="O184" t="str">
        <f t="shared" si="11"/>
        <v>Pending</v>
      </c>
    </row>
    <row r="185" spans="1:15" x14ac:dyDescent="0.35">
      <c r="A185" t="s">
        <v>237</v>
      </c>
      <c r="B185" s="1" t="d">
        <v>2025-02-17</v>
      </c>
      <c r="C185" t="s">
        <v>49</v>
      </c>
      <c r="D185" t="s">
        <v>50</v>
      </c>
      <c r="E185">
        <v>15</v>
      </c>
      <c r="F185">
        <v>5</v>
      </c>
      <c r="G185">
        <v>75</v>
      </c>
      <c r="H185" t="s">
        <v>57</v>
      </c>
      <c r="I185" t="s">
        <v>44</v>
      </c>
      <c r="J185" t="s">
        <v>16</v>
      </c>
      <c r="K185" t="s">
        <v>23</v>
      </c>
      <c r="L185" t="str">
        <f t="shared" si="8"/>
        <v>OK</v>
      </c>
      <c r="M185" t="str">
        <f t="shared" si="9"/>
        <v>Feb</v>
      </c>
      <c r="N185" t="str">
        <f t="shared" si="10"/>
        <v>Monday</v>
      </c>
      <c r="O185" t="str">
        <f t="shared" si="11"/>
        <v>Pending</v>
      </c>
    </row>
    <row r="186" spans="1:15" x14ac:dyDescent="0.35">
      <c r="A186" t="s">
        <v>238</v>
      </c>
      <c r="B186" s="1" t="d">
        <v>2025-03-22</v>
      </c>
      <c r="C186" t="s">
        <v>35</v>
      </c>
      <c r="D186" t="s">
        <v>36</v>
      </c>
      <c r="E186">
        <v>20</v>
      </c>
      <c r="F186">
        <v>1</v>
      </c>
      <c r="G186">
        <v>20</v>
      </c>
      <c r="H186" t="s">
        <v>72</v>
      </c>
      <c r="I186" t="s">
        <v>30</v>
      </c>
      <c r="J186" t="s">
        <v>16</v>
      </c>
      <c r="K186" t="s">
        <v>40</v>
      </c>
      <c r="L186" t="str">
        <f t="shared" si="8"/>
        <v>OK</v>
      </c>
      <c r="M186" t="str">
        <f t="shared" si="9"/>
        <v>Mar</v>
      </c>
      <c r="N186" t="str">
        <f t="shared" si="10"/>
        <v>Saturday</v>
      </c>
      <c r="O186" t="str">
        <f t="shared" si="11"/>
        <v>Delivered</v>
      </c>
    </row>
    <row r="187" spans="1:15" x14ac:dyDescent="0.35">
      <c r="A187" t="s">
        <v>239</v>
      </c>
      <c r="B187" s="1" t="d">
        <v>2025-03-02</v>
      </c>
      <c r="C187" t="s">
        <v>60</v>
      </c>
      <c r="D187" t="s">
        <v>61</v>
      </c>
      <c r="E187">
        <v>600</v>
      </c>
      <c r="F187">
        <v>4</v>
      </c>
      <c r="G187">
        <v>2400</v>
      </c>
      <c r="H187" t="s">
        <v>54</v>
      </c>
      <c r="I187" t="s">
        <v>15</v>
      </c>
      <c r="J187" t="s">
        <v>39</v>
      </c>
      <c r="K187" t="s">
        <v>40</v>
      </c>
      <c r="L187" t="str">
        <f t="shared" si="8"/>
        <v>OK</v>
      </c>
      <c r="M187" t="str">
        <f t="shared" si="9"/>
        <v>Mar</v>
      </c>
      <c r="N187" t="str">
        <f t="shared" si="10"/>
        <v>Sunday</v>
      </c>
      <c r="O187" t="str">
        <f t="shared" si="11"/>
        <v>Delivered</v>
      </c>
    </row>
    <row r="188" spans="1:15" x14ac:dyDescent="0.35">
      <c r="A188" t="s">
        <v>240</v>
      </c>
      <c r="B188" s="1" t="d">
        <v>2025-03-13</v>
      </c>
      <c r="C188" t="s">
        <v>56</v>
      </c>
      <c r="D188" t="s">
        <v>20</v>
      </c>
      <c r="E188">
        <v>800</v>
      </c>
      <c r="F188">
        <v>3</v>
      </c>
      <c r="G188">
        <v>2400</v>
      </c>
      <c r="H188" t="s">
        <v>25</v>
      </c>
      <c r="I188" t="s">
        <v>15</v>
      </c>
      <c r="J188" t="s">
        <v>39</v>
      </c>
      <c r="K188" t="s">
        <v>23</v>
      </c>
      <c r="L188" t="str">
        <f t="shared" si="8"/>
        <v>OK</v>
      </c>
      <c r="M188" t="str">
        <f t="shared" si="9"/>
        <v>Mar</v>
      </c>
      <c r="N188" t="str">
        <f t="shared" si="10"/>
        <v>Thursday</v>
      </c>
      <c r="O188" t="str">
        <f t="shared" si="11"/>
        <v>Pending</v>
      </c>
    </row>
    <row r="189" spans="1:15" x14ac:dyDescent="0.35">
      <c r="A189" t="s">
        <v>241</v>
      </c>
      <c r="B189" s="1" t="d">
        <v>2025-02-14</v>
      </c>
      <c r="C189" t="s">
        <v>49</v>
      </c>
      <c r="D189" t="s">
        <v>50</v>
      </c>
      <c r="E189">
        <v>15</v>
      </c>
      <c r="F189">
        <v>1</v>
      </c>
      <c r="G189">
        <v>15</v>
      </c>
      <c r="H189" t="s">
        <v>25</v>
      </c>
      <c r="I189" t="s">
        <v>46</v>
      </c>
      <c r="J189" t="s">
        <v>27</v>
      </c>
      <c r="K189" t="s">
        <v>40</v>
      </c>
      <c r="L189" t="str">
        <f t="shared" si="8"/>
        <v>OK</v>
      </c>
      <c r="M189" t="str">
        <f t="shared" si="9"/>
        <v>Feb</v>
      </c>
      <c r="N189" t="str">
        <f t="shared" si="10"/>
        <v>Friday</v>
      </c>
      <c r="O189" t="str">
        <f t="shared" si="11"/>
        <v>Delivered</v>
      </c>
    </row>
    <row r="190" spans="1:15" x14ac:dyDescent="0.35">
      <c r="A190" t="s">
        <v>242</v>
      </c>
      <c r="B190" s="1" t="d">
        <v>2025-02-10</v>
      </c>
      <c r="C190" t="s">
        <v>56</v>
      </c>
      <c r="D190" t="s">
        <v>20</v>
      </c>
      <c r="E190">
        <v>800</v>
      </c>
      <c r="F190">
        <v>3</v>
      </c>
      <c r="G190">
        <v>2400</v>
      </c>
      <c r="H190" t="s">
        <v>80</v>
      </c>
      <c r="I190" t="s">
        <v>38</v>
      </c>
      <c r="J190" t="s">
        <v>27</v>
      </c>
      <c r="K190" t="s">
        <v>40</v>
      </c>
      <c r="L190" t="str">
        <f t="shared" si="8"/>
        <v>OK</v>
      </c>
      <c r="M190" t="str">
        <f t="shared" si="9"/>
        <v>Feb</v>
      </c>
      <c r="N190" t="str">
        <f t="shared" si="10"/>
        <v>Monday</v>
      </c>
      <c r="O190" t="str">
        <f t="shared" si="11"/>
        <v>Delivered</v>
      </c>
    </row>
    <row r="191" spans="1:15" x14ac:dyDescent="0.35">
      <c r="A191" t="s">
        <v>243</v>
      </c>
      <c r="B191" s="1" t="d">
        <v>2025-02-23</v>
      </c>
      <c r="C191" t="s">
        <v>12</v>
      </c>
      <c r="D191" t="s">
        <v>13</v>
      </c>
      <c r="E191">
        <v>60</v>
      </c>
      <c r="F191">
        <v>1</v>
      </c>
      <c r="G191">
        <v>60</v>
      </c>
      <c r="H191" t="s">
        <v>43</v>
      </c>
      <c r="I191" t="s">
        <v>38</v>
      </c>
      <c r="J191" t="s">
        <v>39</v>
      </c>
      <c r="K191" t="s">
        <v>40</v>
      </c>
      <c r="L191" t="str">
        <f t="shared" si="8"/>
        <v>OK</v>
      </c>
      <c r="M191" t="str">
        <f t="shared" si="9"/>
        <v>Feb</v>
      </c>
      <c r="N191" t="str">
        <f t="shared" si="10"/>
        <v>Sunday</v>
      </c>
      <c r="O191" t="str">
        <f t="shared" si="11"/>
        <v>Delivered</v>
      </c>
    </row>
    <row r="192" spans="1:15" x14ac:dyDescent="0.35">
      <c r="A192" t="s">
        <v>244</v>
      </c>
      <c r="B192" s="1" t="d">
        <v>2025-02-28</v>
      </c>
      <c r="C192" t="s">
        <v>53</v>
      </c>
      <c r="D192" t="s">
        <v>36</v>
      </c>
      <c r="E192">
        <v>40</v>
      </c>
      <c r="F192">
        <v>4</v>
      </c>
      <c r="G192">
        <v>160</v>
      </c>
      <c r="H192" t="s">
        <v>25</v>
      </c>
      <c r="I192" t="s">
        <v>63</v>
      </c>
      <c r="J192" t="s">
        <v>27</v>
      </c>
      <c r="K192" t="s">
        <v>23</v>
      </c>
      <c r="L192" t="str">
        <f t="shared" si="8"/>
        <v>OK</v>
      </c>
      <c r="M192" t="str">
        <f t="shared" si="9"/>
        <v>Feb</v>
      </c>
      <c r="N192" t="str">
        <f t="shared" si="10"/>
        <v>Friday</v>
      </c>
      <c r="O192" t="str">
        <f t="shared" si="11"/>
        <v>Pending</v>
      </c>
    </row>
    <row r="193" spans="1:15" x14ac:dyDescent="0.35">
      <c r="A193" t="s">
        <v>245</v>
      </c>
      <c r="B193" s="1" t="d">
        <v>2025-03-31</v>
      </c>
      <c r="C193" t="s">
        <v>19</v>
      </c>
      <c r="D193" t="s">
        <v>20</v>
      </c>
      <c r="E193">
        <v>100</v>
      </c>
      <c r="F193">
        <v>3</v>
      </c>
      <c r="G193">
        <v>300</v>
      </c>
      <c r="H193" t="s">
        <v>43</v>
      </c>
      <c r="I193" t="s">
        <v>30</v>
      </c>
      <c r="J193" t="s">
        <v>58</v>
      </c>
      <c r="K193" t="s">
        <v>23</v>
      </c>
      <c r="L193" t="str">
        <f t="shared" si="8"/>
        <v>OK</v>
      </c>
      <c r="M193" t="str">
        <f t="shared" si="9"/>
        <v>Mar</v>
      </c>
      <c r="N193" t="str">
        <f t="shared" si="10"/>
        <v>Monday</v>
      </c>
      <c r="O193" t="str">
        <f t="shared" si="11"/>
        <v>Pending</v>
      </c>
    </row>
    <row r="194" spans="1:15" x14ac:dyDescent="0.35">
      <c r="A194" t="s">
        <v>246</v>
      </c>
      <c r="B194" s="1" t="d">
        <v>2025-03-30</v>
      </c>
      <c r="C194" t="s">
        <v>49</v>
      </c>
      <c r="D194" t="s">
        <v>50</v>
      </c>
      <c r="E194">
        <v>15</v>
      </c>
      <c r="F194">
        <v>5</v>
      </c>
      <c r="G194">
        <v>75</v>
      </c>
      <c r="H194" t="s">
        <v>51</v>
      </c>
      <c r="I194" t="s">
        <v>81</v>
      </c>
      <c r="J194" t="s">
        <v>27</v>
      </c>
      <c r="K194" t="s">
        <v>23</v>
      </c>
      <c r="L194" t="str">
        <f t="shared" ref="L194:L251" si="12">IF(E194*F194=G194,"OK","CHECK")</f>
        <v>OK</v>
      </c>
      <c r="M194" t="str">
        <f t="shared" ref="M194:M251" si="13">TEXT(B194,"MMM")</f>
        <v>Mar</v>
      </c>
      <c r="N194" t="str">
        <f t="shared" ref="N194:N251" si="14">TEXT(B194,"dddd")</f>
        <v>Sunday</v>
      </c>
      <c r="O194" t="str">
        <f t="shared" ref="O194:O251" si="15">IF(K194="Completed","Delivered",K194)</f>
        <v>Pending</v>
      </c>
    </row>
    <row r="195" spans="1:15" x14ac:dyDescent="0.35">
      <c r="A195" t="s">
        <v>247</v>
      </c>
      <c r="B195" s="1" t="d">
        <v>2025-02-20</v>
      </c>
      <c r="C195" t="s">
        <v>53</v>
      </c>
      <c r="D195" t="s">
        <v>36</v>
      </c>
      <c r="E195">
        <v>40</v>
      </c>
      <c r="F195">
        <v>4</v>
      </c>
      <c r="G195">
        <v>160</v>
      </c>
      <c r="H195" t="s">
        <v>25</v>
      </c>
      <c r="I195" t="s">
        <v>22</v>
      </c>
      <c r="J195" t="s">
        <v>16</v>
      </c>
      <c r="K195" t="s">
        <v>17</v>
      </c>
      <c r="L195" t="str">
        <f t="shared" si="12"/>
        <v>OK</v>
      </c>
      <c r="M195" t="str">
        <f t="shared" si="13"/>
        <v>Feb</v>
      </c>
      <c r="N195" t="str">
        <f t="shared" si="14"/>
        <v>Thursday</v>
      </c>
      <c r="O195" t="str">
        <f t="shared" si="15"/>
        <v>Cancelled</v>
      </c>
    </row>
    <row r="196" spans="1:15" x14ac:dyDescent="0.35">
      <c r="A196" t="s">
        <v>248</v>
      </c>
      <c r="B196" s="1" t="d">
        <v>2025-03-10</v>
      </c>
      <c r="C196" t="s">
        <v>42</v>
      </c>
      <c r="D196" t="s">
        <v>20</v>
      </c>
      <c r="E196">
        <v>500</v>
      </c>
      <c r="F196">
        <v>3</v>
      </c>
      <c r="G196">
        <v>1500</v>
      </c>
      <c r="H196" t="s">
        <v>29</v>
      </c>
      <c r="I196" t="s">
        <v>26</v>
      </c>
      <c r="J196" t="s">
        <v>58</v>
      </c>
      <c r="K196" t="s">
        <v>17</v>
      </c>
      <c r="L196" t="str">
        <f t="shared" si="12"/>
        <v>OK</v>
      </c>
      <c r="M196" t="str">
        <f t="shared" si="13"/>
        <v>Mar</v>
      </c>
      <c r="N196" t="str">
        <f t="shared" si="14"/>
        <v>Monday</v>
      </c>
      <c r="O196" t="str">
        <f t="shared" si="15"/>
        <v>Cancelled</v>
      </c>
    </row>
    <row r="197" spans="1:15" x14ac:dyDescent="0.35">
      <c r="A197" t="s">
        <v>249</v>
      </c>
      <c r="B197" s="1" t="d">
        <v>2025-03-04</v>
      </c>
      <c r="C197" t="s">
        <v>19</v>
      </c>
      <c r="D197" t="s">
        <v>20</v>
      </c>
      <c r="E197">
        <v>100</v>
      </c>
      <c r="F197">
        <v>5</v>
      </c>
      <c r="G197">
        <v>500</v>
      </c>
      <c r="H197" t="s">
        <v>57</v>
      </c>
      <c r="I197" t="s">
        <v>63</v>
      </c>
      <c r="J197" t="s">
        <v>16</v>
      </c>
      <c r="K197" t="s">
        <v>23</v>
      </c>
      <c r="L197" t="str">
        <f t="shared" si="12"/>
        <v>OK</v>
      </c>
      <c r="M197" t="str">
        <f t="shared" si="13"/>
        <v>Mar</v>
      </c>
      <c r="N197" t="str">
        <f t="shared" si="14"/>
        <v>Tuesday</v>
      </c>
      <c r="O197" t="str">
        <f t="shared" si="15"/>
        <v>Pending</v>
      </c>
    </row>
    <row r="198" spans="1:15" x14ac:dyDescent="0.35">
      <c r="A198" t="s">
        <v>250</v>
      </c>
      <c r="B198" s="1" t="d">
        <v>2025-03-12</v>
      </c>
      <c r="C198" t="s">
        <v>12</v>
      </c>
      <c r="D198" t="s">
        <v>13</v>
      </c>
      <c r="E198">
        <v>60</v>
      </c>
      <c r="F198">
        <v>2</v>
      </c>
      <c r="G198">
        <v>120</v>
      </c>
      <c r="H198" t="s">
        <v>54</v>
      </c>
      <c r="I198" t="s">
        <v>26</v>
      </c>
      <c r="J198" t="s">
        <v>58</v>
      </c>
      <c r="K198" t="s">
        <v>40</v>
      </c>
      <c r="L198" t="str">
        <f t="shared" si="12"/>
        <v>OK</v>
      </c>
      <c r="M198" t="str">
        <f t="shared" si="13"/>
        <v>Mar</v>
      </c>
      <c r="N198" t="str">
        <f t="shared" si="14"/>
        <v>Wednesday</v>
      </c>
      <c r="O198" t="str">
        <f t="shared" si="15"/>
        <v>Delivered</v>
      </c>
    </row>
    <row r="199" spans="1:15" x14ac:dyDescent="0.35">
      <c r="A199" t="s">
        <v>251</v>
      </c>
      <c r="B199" s="1" t="d">
        <v>2025-02-20</v>
      </c>
      <c r="C199" t="s">
        <v>56</v>
      </c>
      <c r="D199" t="s">
        <v>20</v>
      </c>
      <c r="E199">
        <v>800</v>
      </c>
      <c r="F199">
        <v>4</v>
      </c>
      <c r="G199">
        <v>3200</v>
      </c>
      <c r="H199" t="s">
        <v>80</v>
      </c>
      <c r="I199" t="s">
        <v>63</v>
      </c>
      <c r="J199" t="s">
        <v>27</v>
      </c>
      <c r="K199" t="s">
        <v>23</v>
      </c>
      <c r="L199" t="str">
        <f t="shared" si="12"/>
        <v>OK</v>
      </c>
      <c r="M199" t="str">
        <f t="shared" si="13"/>
        <v>Feb</v>
      </c>
      <c r="N199" t="str">
        <f t="shared" si="14"/>
        <v>Thursday</v>
      </c>
      <c r="O199" t="str">
        <f t="shared" si="15"/>
        <v>Pending</v>
      </c>
    </row>
    <row r="200" spans="1:15" x14ac:dyDescent="0.35">
      <c r="A200" t="s">
        <v>252</v>
      </c>
      <c r="B200" s="1" t="d">
        <v>2025-02-22</v>
      </c>
      <c r="C200" t="s">
        <v>42</v>
      </c>
      <c r="D200" t="s">
        <v>20</v>
      </c>
      <c r="E200">
        <v>500</v>
      </c>
      <c r="F200">
        <v>3</v>
      </c>
      <c r="G200">
        <v>1500</v>
      </c>
      <c r="H200" t="s">
        <v>72</v>
      </c>
      <c r="I200" t="s">
        <v>30</v>
      </c>
      <c r="J200" t="s">
        <v>31</v>
      </c>
      <c r="K200" t="s">
        <v>40</v>
      </c>
      <c r="L200" t="str">
        <f t="shared" si="12"/>
        <v>OK</v>
      </c>
      <c r="M200" t="str">
        <f t="shared" si="13"/>
        <v>Feb</v>
      </c>
      <c r="N200" t="str">
        <f t="shared" si="14"/>
        <v>Saturday</v>
      </c>
      <c r="O200" t="str">
        <f t="shared" si="15"/>
        <v>Delivered</v>
      </c>
    </row>
    <row r="201" spans="1:15" x14ac:dyDescent="0.35">
      <c r="A201" t="s">
        <v>253</v>
      </c>
      <c r="B201" s="1" t="d">
        <v>2025-02-10</v>
      </c>
      <c r="C201" t="s">
        <v>49</v>
      </c>
      <c r="D201" t="s">
        <v>50</v>
      </c>
      <c r="E201">
        <v>15</v>
      </c>
      <c r="F201">
        <v>2</v>
      </c>
      <c r="G201">
        <v>30</v>
      </c>
      <c r="H201" t="s">
        <v>72</v>
      </c>
      <c r="I201" t="s">
        <v>68</v>
      </c>
      <c r="J201" t="s">
        <v>16</v>
      </c>
      <c r="K201" t="s">
        <v>40</v>
      </c>
      <c r="L201" t="str">
        <f t="shared" si="12"/>
        <v>OK</v>
      </c>
      <c r="M201" t="str">
        <f t="shared" si="13"/>
        <v>Feb</v>
      </c>
      <c r="N201" t="str">
        <f t="shared" si="14"/>
        <v>Monday</v>
      </c>
      <c r="O201" t="str">
        <f t="shared" si="15"/>
        <v>Delivered</v>
      </c>
    </row>
    <row r="202" spans="1:15" x14ac:dyDescent="0.35">
      <c r="A202" t="s">
        <v>254</v>
      </c>
      <c r="B202" s="1" t="d">
        <v>2025-02-03</v>
      </c>
      <c r="C202" t="s">
        <v>49</v>
      </c>
      <c r="D202" t="s">
        <v>50</v>
      </c>
      <c r="E202">
        <v>15</v>
      </c>
      <c r="F202">
        <v>4</v>
      </c>
      <c r="G202">
        <v>60</v>
      </c>
      <c r="H202" t="s">
        <v>54</v>
      </c>
      <c r="I202" t="s">
        <v>22</v>
      </c>
      <c r="J202" t="s">
        <v>31</v>
      </c>
      <c r="K202" t="s">
        <v>40</v>
      </c>
      <c r="L202" t="str">
        <f t="shared" si="12"/>
        <v>OK</v>
      </c>
      <c r="M202" t="str">
        <f t="shared" si="13"/>
        <v>Feb</v>
      </c>
      <c r="N202" t="str">
        <f t="shared" si="14"/>
        <v>Monday</v>
      </c>
      <c r="O202" t="str">
        <f t="shared" si="15"/>
        <v>Delivered</v>
      </c>
    </row>
    <row r="203" spans="1:15" x14ac:dyDescent="0.35">
      <c r="A203" t="s">
        <v>255</v>
      </c>
      <c r="B203" s="1" t="d">
        <v>2025-02-21</v>
      </c>
      <c r="C203" t="s">
        <v>42</v>
      </c>
      <c r="D203" t="s">
        <v>20</v>
      </c>
      <c r="E203">
        <v>500</v>
      </c>
      <c r="F203">
        <v>2</v>
      </c>
      <c r="G203">
        <v>1000</v>
      </c>
      <c r="H203" t="s">
        <v>57</v>
      </c>
      <c r="I203" t="s">
        <v>44</v>
      </c>
      <c r="J203" t="s">
        <v>31</v>
      </c>
      <c r="K203" t="s">
        <v>17</v>
      </c>
      <c r="L203" t="str">
        <f t="shared" si="12"/>
        <v>OK</v>
      </c>
      <c r="M203" t="str">
        <f t="shared" si="13"/>
        <v>Feb</v>
      </c>
      <c r="N203" t="str">
        <f t="shared" si="14"/>
        <v>Friday</v>
      </c>
      <c r="O203" t="str">
        <f t="shared" si="15"/>
        <v>Cancelled</v>
      </c>
    </row>
    <row r="204" spans="1:15" x14ac:dyDescent="0.35">
      <c r="A204" t="s">
        <v>256</v>
      </c>
      <c r="B204" s="1" t="d">
        <v>2025-02-21</v>
      </c>
      <c r="C204" t="s">
        <v>65</v>
      </c>
      <c r="D204" t="s">
        <v>61</v>
      </c>
      <c r="E204">
        <v>1200</v>
      </c>
      <c r="F204">
        <v>3</v>
      </c>
      <c r="G204">
        <v>3600</v>
      </c>
      <c r="H204" t="s">
        <v>25</v>
      </c>
      <c r="I204" t="s">
        <v>30</v>
      </c>
      <c r="J204" t="s">
        <v>16</v>
      </c>
      <c r="K204" t="s">
        <v>40</v>
      </c>
      <c r="L204" t="str">
        <f t="shared" si="12"/>
        <v>OK</v>
      </c>
      <c r="M204" t="str">
        <f t="shared" si="13"/>
        <v>Feb</v>
      </c>
      <c r="N204" t="str">
        <f t="shared" si="14"/>
        <v>Friday</v>
      </c>
      <c r="O204" t="str">
        <f t="shared" si="15"/>
        <v>Delivered</v>
      </c>
    </row>
    <row r="205" spans="1:15" x14ac:dyDescent="0.35">
      <c r="A205" t="s">
        <v>257</v>
      </c>
      <c r="B205" s="1" t="d">
        <v>2025-03-08</v>
      </c>
      <c r="C205" t="s">
        <v>12</v>
      </c>
      <c r="D205" t="s">
        <v>13</v>
      </c>
      <c r="E205">
        <v>60</v>
      </c>
      <c r="F205">
        <v>5</v>
      </c>
      <c r="G205">
        <v>300</v>
      </c>
      <c r="H205" t="s">
        <v>80</v>
      </c>
      <c r="I205" t="s">
        <v>44</v>
      </c>
      <c r="J205" t="s">
        <v>58</v>
      </c>
      <c r="K205" t="s">
        <v>23</v>
      </c>
      <c r="L205" t="str">
        <f t="shared" si="12"/>
        <v>OK</v>
      </c>
      <c r="M205" t="str">
        <f t="shared" si="13"/>
        <v>Mar</v>
      </c>
      <c r="N205" t="str">
        <f t="shared" si="14"/>
        <v>Saturday</v>
      </c>
      <c r="O205" t="str">
        <f t="shared" si="15"/>
        <v>Pending</v>
      </c>
    </row>
    <row r="206" spans="1:15" x14ac:dyDescent="0.35">
      <c r="A206" t="s">
        <v>258</v>
      </c>
      <c r="B206" s="1" t="d">
        <v>2025-02-27</v>
      </c>
      <c r="C206" t="s">
        <v>19</v>
      </c>
      <c r="D206" t="s">
        <v>20</v>
      </c>
      <c r="E206">
        <v>100</v>
      </c>
      <c r="F206">
        <v>2</v>
      </c>
      <c r="G206">
        <v>200</v>
      </c>
      <c r="H206" t="s">
        <v>51</v>
      </c>
      <c r="I206" t="s">
        <v>38</v>
      </c>
      <c r="J206" t="s">
        <v>39</v>
      </c>
      <c r="K206" t="s">
        <v>40</v>
      </c>
      <c r="L206" t="str">
        <f t="shared" si="12"/>
        <v>OK</v>
      </c>
      <c r="M206" t="str">
        <f t="shared" si="13"/>
        <v>Feb</v>
      </c>
      <c r="N206" t="str">
        <f t="shared" si="14"/>
        <v>Thursday</v>
      </c>
      <c r="O206" t="str">
        <f t="shared" si="15"/>
        <v>Delivered</v>
      </c>
    </row>
    <row r="207" spans="1:15" x14ac:dyDescent="0.35">
      <c r="A207" t="s">
        <v>259</v>
      </c>
      <c r="B207" s="1" t="d">
        <v>2025-02-12</v>
      </c>
      <c r="C207" t="s">
        <v>60</v>
      </c>
      <c r="D207" t="s">
        <v>61</v>
      </c>
      <c r="E207">
        <v>600</v>
      </c>
      <c r="F207">
        <v>5</v>
      </c>
      <c r="G207">
        <v>3000</v>
      </c>
      <c r="H207" t="s">
        <v>14</v>
      </c>
      <c r="I207" t="s">
        <v>44</v>
      </c>
      <c r="J207" t="s">
        <v>27</v>
      </c>
      <c r="K207" t="s">
        <v>23</v>
      </c>
      <c r="L207" t="str">
        <f t="shared" si="12"/>
        <v>OK</v>
      </c>
      <c r="M207" t="str">
        <f t="shared" si="13"/>
        <v>Feb</v>
      </c>
      <c r="N207" t="str">
        <f t="shared" si="14"/>
        <v>Wednesday</v>
      </c>
      <c r="O207" t="str">
        <f t="shared" si="15"/>
        <v>Pending</v>
      </c>
    </row>
    <row r="208" spans="1:15" x14ac:dyDescent="0.35">
      <c r="A208" t="s">
        <v>260</v>
      </c>
      <c r="B208" s="1" t="d">
        <v>2025-03-21</v>
      </c>
      <c r="C208" t="s">
        <v>60</v>
      </c>
      <c r="D208" t="s">
        <v>61</v>
      </c>
      <c r="E208">
        <v>600</v>
      </c>
      <c r="F208">
        <v>1</v>
      </c>
      <c r="G208">
        <v>600</v>
      </c>
      <c r="H208" t="s">
        <v>25</v>
      </c>
      <c r="I208" t="s">
        <v>44</v>
      </c>
      <c r="J208" t="s">
        <v>31</v>
      </c>
      <c r="K208" t="s">
        <v>40</v>
      </c>
      <c r="L208" t="str">
        <f t="shared" si="12"/>
        <v>OK</v>
      </c>
      <c r="M208" t="str">
        <f t="shared" si="13"/>
        <v>Mar</v>
      </c>
      <c r="N208" t="str">
        <f t="shared" si="14"/>
        <v>Friday</v>
      </c>
      <c r="O208" t="str">
        <f t="shared" si="15"/>
        <v>Delivered</v>
      </c>
    </row>
    <row r="209" spans="1:15" x14ac:dyDescent="0.35">
      <c r="A209" t="s">
        <v>261</v>
      </c>
      <c r="B209" s="1" t="d">
        <v>2025-02-02</v>
      </c>
      <c r="C209" t="s">
        <v>65</v>
      </c>
      <c r="D209" t="s">
        <v>61</v>
      </c>
      <c r="E209">
        <v>1200</v>
      </c>
      <c r="F209">
        <v>3</v>
      </c>
      <c r="G209">
        <v>3600</v>
      </c>
      <c r="H209" t="s">
        <v>25</v>
      </c>
      <c r="I209" t="s">
        <v>44</v>
      </c>
      <c r="J209" t="s">
        <v>39</v>
      </c>
      <c r="K209" t="s">
        <v>40</v>
      </c>
      <c r="L209" t="str">
        <f t="shared" si="12"/>
        <v>OK</v>
      </c>
      <c r="M209" t="str">
        <f t="shared" si="13"/>
        <v>Feb</v>
      </c>
      <c r="N209" t="str">
        <f t="shared" si="14"/>
        <v>Sunday</v>
      </c>
      <c r="O209" t="str">
        <f t="shared" si="15"/>
        <v>Delivered</v>
      </c>
    </row>
    <row r="210" spans="1:15" x14ac:dyDescent="0.35">
      <c r="A210" t="s">
        <v>262</v>
      </c>
      <c r="B210" s="1" t="d">
        <v>2025-03-29</v>
      </c>
      <c r="C210" t="s">
        <v>53</v>
      </c>
      <c r="D210" t="s">
        <v>36</v>
      </c>
      <c r="E210">
        <v>40</v>
      </c>
      <c r="F210">
        <v>5</v>
      </c>
      <c r="G210">
        <v>200</v>
      </c>
      <c r="H210" t="s">
        <v>57</v>
      </c>
      <c r="I210" t="s">
        <v>30</v>
      </c>
      <c r="J210" t="s">
        <v>39</v>
      </c>
      <c r="K210" t="s">
        <v>40</v>
      </c>
      <c r="L210" t="str">
        <f t="shared" si="12"/>
        <v>OK</v>
      </c>
      <c r="M210" t="str">
        <f t="shared" si="13"/>
        <v>Mar</v>
      </c>
      <c r="N210" t="str">
        <f t="shared" si="14"/>
        <v>Saturday</v>
      </c>
      <c r="O210" t="str">
        <f t="shared" si="15"/>
        <v>Delivered</v>
      </c>
    </row>
    <row r="211" spans="1:15" x14ac:dyDescent="0.35">
      <c r="A211" t="s">
        <v>263</v>
      </c>
      <c r="B211" s="1" t="d">
        <v>2025-03-23</v>
      </c>
      <c r="C211" t="s">
        <v>56</v>
      </c>
      <c r="D211" t="s">
        <v>20</v>
      </c>
      <c r="E211">
        <v>800</v>
      </c>
      <c r="F211">
        <v>3</v>
      </c>
      <c r="G211">
        <v>2400</v>
      </c>
      <c r="H211" t="s">
        <v>80</v>
      </c>
      <c r="I211" t="s">
        <v>15</v>
      </c>
      <c r="J211" t="s">
        <v>39</v>
      </c>
      <c r="K211" t="s">
        <v>40</v>
      </c>
      <c r="L211" t="str">
        <f t="shared" si="12"/>
        <v>OK</v>
      </c>
      <c r="M211" t="str">
        <f t="shared" si="13"/>
        <v>Mar</v>
      </c>
      <c r="N211" t="str">
        <f t="shared" si="14"/>
        <v>Sunday</v>
      </c>
      <c r="O211" t="str">
        <f t="shared" si="15"/>
        <v>Delivered</v>
      </c>
    </row>
    <row r="212" spans="1:15" x14ac:dyDescent="0.35">
      <c r="A212" t="s">
        <v>264</v>
      </c>
      <c r="B212" s="1" t="d">
        <v>2025-03-13</v>
      </c>
      <c r="C212" t="s">
        <v>42</v>
      </c>
      <c r="D212" t="s">
        <v>20</v>
      </c>
      <c r="E212">
        <v>500</v>
      </c>
      <c r="F212">
        <v>1</v>
      </c>
      <c r="G212">
        <v>500</v>
      </c>
      <c r="H212" t="s">
        <v>51</v>
      </c>
      <c r="I212" t="s">
        <v>44</v>
      </c>
      <c r="J212" t="s">
        <v>58</v>
      </c>
      <c r="K212" t="s">
        <v>23</v>
      </c>
      <c r="L212" t="str">
        <f t="shared" si="12"/>
        <v>OK</v>
      </c>
      <c r="M212" t="str">
        <f t="shared" si="13"/>
        <v>Mar</v>
      </c>
      <c r="N212" t="str">
        <f t="shared" si="14"/>
        <v>Thursday</v>
      </c>
      <c r="O212" t="str">
        <f t="shared" si="15"/>
        <v>Pending</v>
      </c>
    </row>
    <row r="213" spans="1:15" x14ac:dyDescent="0.35">
      <c r="A213" t="s">
        <v>265</v>
      </c>
      <c r="B213" s="1" t="d">
        <v>2025-03-09</v>
      </c>
      <c r="C213" t="s">
        <v>35</v>
      </c>
      <c r="D213" t="s">
        <v>36</v>
      </c>
      <c r="E213">
        <v>20</v>
      </c>
      <c r="F213">
        <v>4</v>
      </c>
      <c r="G213">
        <v>80</v>
      </c>
      <c r="H213" t="s">
        <v>14</v>
      </c>
      <c r="I213" t="s">
        <v>38</v>
      </c>
      <c r="J213" t="s">
        <v>16</v>
      </c>
      <c r="K213" t="s">
        <v>40</v>
      </c>
      <c r="L213" t="str">
        <f t="shared" si="12"/>
        <v>OK</v>
      </c>
      <c r="M213" t="str">
        <f t="shared" si="13"/>
        <v>Mar</v>
      </c>
      <c r="N213" t="str">
        <f t="shared" si="14"/>
        <v>Sunday</v>
      </c>
      <c r="O213" t="str">
        <f t="shared" si="15"/>
        <v>Delivered</v>
      </c>
    </row>
    <row r="214" spans="1:15" x14ac:dyDescent="0.35">
      <c r="A214" t="s">
        <v>266</v>
      </c>
      <c r="B214" s="1" t="d">
        <v>2025-02-06</v>
      </c>
      <c r="C214" t="s">
        <v>56</v>
      </c>
      <c r="D214" t="s">
        <v>20</v>
      </c>
      <c r="E214">
        <v>800</v>
      </c>
      <c r="F214">
        <v>1</v>
      </c>
      <c r="G214">
        <v>800</v>
      </c>
      <c r="H214" t="s">
        <v>80</v>
      </c>
      <c r="I214" t="s">
        <v>68</v>
      </c>
      <c r="J214" t="s">
        <v>27</v>
      </c>
      <c r="K214" t="s">
        <v>17</v>
      </c>
      <c r="L214" t="str">
        <f t="shared" si="12"/>
        <v>OK</v>
      </c>
      <c r="M214" t="str">
        <f t="shared" si="13"/>
        <v>Feb</v>
      </c>
      <c r="N214" t="str">
        <f t="shared" si="14"/>
        <v>Thursday</v>
      </c>
      <c r="O214" t="str">
        <f t="shared" si="15"/>
        <v>Cancelled</v>
      </c>
    </row>
    <row r="215" spans="1:15" x14ac:dyDescent="0.35">
      <c r="A215" t="s">
        <v>267</v>
      </c>
      <c r="B215" s="1" t="d">
        <v>2025-02-18</v>
      </c>
      <c r="C215" t="s">
        <v>33</v>
      </c>
      <c r="D215" t="s">
        <v>20</v>
      </c>
      <c r="E215">
        <v>150</v>
      </c>
      <c r="F215">
        <v>5</v>
      </c>
      <c r="G215">
        <v>750</v>
      </c>
      <c r="H215" t="s">
        <v>21</v>
      </c>
      <c r="I215" t="s">
        <v>38</v>
      </c>
      <c r="J215" t="s">
        <v>16</v>
      </c>
      <c r="K215" t="s">
        <v>40</v>
      </c>
      <c r="L215" t="str">
        <f t="shared" si="12"/>
        <v>OK</v>
      </c>
      <c r="M215" t="str">
        <f t="shared" si="13"/>
        <v>Feb</v>
      </c>
      <c r="N215" t="str">
        <f t="shared" si="14"/>
        <v>Tuesday</v>
      </c>
      <c r="O215" t="str">
        <f t="shared" si="15"/>
        <v>Delivered</v>
      </c>
    </row>
    <row r="216" spans="1:15" x14ac:dyDescent="0.35">
      <c r="A216" t="s">
        <v>268</v>
      </c>
      <c r="B216" s="1" t="d">
        <v>2025-03-07</v>
      </c>
      <c r="C216" t="s">
        <v>12</v>
      </c>
      <c r="D216" t="s">
        <v>13</v>
      </c>
      <c r="E216">
        <v>60</v>
      </c>
      <c r="F216">
        <v>1</v>
      </c>
      <c r="G216">
        <v>60</v>
      </c>
      <c r="H216" t="s">
        <v>14</v>
      </c>
      <c r="I216" t="s">
        <v>38</v>
      </c>
      <c r="J216" t="s">
        <v>39</v>
      </c>
      <c r="K216" t="s">
        <v>40</v>
      </c>
      <c r="L216" t="str">
        <f t="shared" si="12"/>
        <v>OK</v>
      </c>
      <c r="M216" t="str">
        <f t="shared" si="13"/>
        <v>Mar</v>
      </c>
      <c r="N216" t="str">
        <f t="shared" si="14"/>
        <v>Friday</v>
      </c>
      <c r="O216" t="str">
        <f t="shared" si="15"/>
        <v>Delivered</v>
      </c>
    </row>
    <row r="217" spans="1:15" x14ac:dyDescent="0.35">
      <c r="A217" t="s">
        <v>269</v>
      </c>
      <c r="B217" s="1" t="d">
        <v>2025-03-26</v>
      </c>
      <c r="C217" t="s">
        <v>53</v>
      </c>
      <c r="D217" t="s">
        <v>36</v>
      </c>
      <c r="E217">
        <v>40</v>
      </c>
      <c r="F217">
        <v>2</v>
      </c>
      <c r="G217">
        <v>80</v>
      </c>
      <c r="H217" t="s">
        <v>72</v>
      </c>
      <c r="I217" t="s">
        <v>81</v>
      </c>
      <c r="J217" t="s">
        <v>31</v>
      </c>
      <c r="K217" t="s">
        <v>40</v>
      </c>
      <c r="L217" t="str">
        <f t="shared" si="12"/>
        <v>OK</v>
      </c>
      <c r="M217" t="str">
        <f t="shared" si="13"/>
        <v>Mar</v>
      </c>
      <c r="N217" t="str">
        <f t="shared" si="14"/>
        <v>Wednesday</v>
      </c>
      <c r="O217" t="str">
        <f t="shared" si="15"/>
        <v>Delivered</v>
      </c>
    </row>
    <row r="218" spans="1:15" x14ac:dyDescent="0.35">
      <c r="A218" t="s">
        <v>270</v>
      </c>
      <c r="B218" s="1" t="d">
        <v>2025-03-19</v>
      </c>
      <c r="C218" t="s">
        <v>12</v>
      </c>
      <c r="D218" t="s">
        <v>13</v>
      </c>
      <c r="E218">
        <v>60</v>
      </c>
      <c r="F218">
        <v>2</v>
      </c>
      <c r="G218">
        <v>120</v>
      </c>
      <c r="H218" t="s">
        <v>14</v>
      </c>
      <c r="I218" t="s">
        <v>46</v>
      </c>
      <c r="J218" t="s">
        <v>58</v>
      </c>
      <c r="K218" t="s">
        <v>23</v>
      </c>
      <c r="L218" t="str">
        <f t="shared" si="12"/>
        <v>OK</v>
      </c>
      <c r="M218" t="str">
        <f t="shared" si="13"/>
        <v>Mar</v>
      </c>
      <c r="N218" t="str">
        <f t="shared" si="14"/>
        <v>Wednesday</v>
      </c>
      <c r="O218" t="str">
        <f t="shared" si="15"/>
        <v>Pending</v>
      </c>
    </row>
    <row r="219" spans="1:15" x14ac:dyDescent="0.35">
      <c r="A219" t="s">
        <v>271</v>
      </c>
      <c r="B219" s="1" t="d">
        <v>2025-02-15</v>
      </c>
      <c r="C219" t="s">
        <v>19</v>
      </c>
      <c r="D219" t="s">
        <v>20</v>
      </c>
      <c r="E219">
        <v>100</v>
      </c>
      <c r="F219">
        <v>4</v>
      </c>
      <c r="G219">
        <v>400</v>
      </c>
      <c r="H219" t="s">
        <v>57</v>
      </c>
      <c r="I219" t="s">
        <v>15</v>
      </c>
      <c r="J219" t="s">
        <v>58</v>
      </c>
      <c r="K219" t="s">
        <v>17</v>
      </c>
      <c r="L219" t="str">
        <f t="shared" si="12"/>
        <v>OK</v>
      </c>
      <c r="M219" t="str">
        <f t="shared" si="13"/>
        <v>Feb</v>
      </c>
      <c r="N219" t="str">
        <f t="shared" si="14"/>
        <v>Saturday</v>
      </c>
      <c r="O219" t="str">
        <f t="shared" si="15"/>
        <v>Cancelled</v>
      </c>
    </row>
    <row r="220" spans="1:15" x14ac:dyDescent="0.35">
      <c r="A220" t="s">
        <v>272</v>
      </c>
      <c r="B220" s="1" t="d">
        <v>2025-02-17</v>
      </c>
      <c r="C220" t="s">
        <v>19</v>
      </c>
      <c r="D220" t="s">
        <v>20</v>
      </c>
      <c r="E220">
        <v>100</v>
      </c>
      <c r="F220">
        <v>3</v>
      </c>
      <c r="G220">
        <v>300</v>
      </c>
      <c r="H220" t="s">
        <v>51</v>
      </c>
      <c r="I220" t="s">
        <v>38</v>
      </c>
      <c r="J220" t="s">
        <v>39</v>
      </c>
      <c r="K220" t="s">
        <v>17</v>
      </c>
      <c r="L220" t="str">
        <f t="shared" si="12"/>
        <v>OK</v>
      </c>
      <c r="M220" t="str">
        <f t="shared" si="13"/>
        <v>Feb</v>
      </c>
      <c r="N220" t="str">
        <f t="shared" si="14"/>
        <v>Monday</v>
      </c>
      <c r="O220" t="str">
        <f t="shared" si="15"/>
        <v>Cancelled</v>
      </c>
    </row>
    <row r="221" spans="1:15" x14ac:dyDescent="0.35">
      <c r="A221" t="s">
        <v>273</v>
      </c>
      <c r="B221" s="1" t="d">
        <v>2025-02-10</v>
      </c>
      <c r="C221" t="s">
        <v>33</v>
      </c>
      <c r="D221" t="s">
        <v>20</v>
      </c>
      <c r="E221">
        <v>150</v>
      </c>
      <c r="F221">
        <v>3</v>
      </c>
      <c r="G221">
        <v>450</v>
      </c>
      <c r="H221" t="s">
        <v>54</v>
      </c>
      <c r="I221" t="s">
        <v>26</v>
      </c>
      <c r="J221" t="s">
        <v>16</v>
      </c>
      <c r="K221" t="s">
        <v>40</v>
      </c>
      <c r="L221" t="str">
        <f t="shared" si="12"/>
        <v>OK</v>
      </c>
      <c r="M221" t="str">
        <f t="shared" si="13"/>
        <v>Feb</v>
      </c>
      <c r="N221" t="str">
        <f t="shared" si="14"/>
        <v>Monday</v>
      </c>
      <c r="O221" t="str">
        <f t="shared" si="15"/>
        <v>Delivered</v>
      </c>
    </row>
    <row r="222" spans="1:15" x14ac:dyDescent="0.35">
      <c r="A222" t="s">
        <v>274</v>
      </c>
      <c r="B222" s="1" t="d">
        <v>2025-02-28</v>
      </c>
      <c r="C222" t="s">
        <v>60</v>
      </c>
      <c r="D222" t="s">
        <v>61</v>
      </c>
      <c r="E222">
        <v>600</v>
      </c>
      <c r="F222">
        <v>2</v>
      </c>
      <c r="G222">
        <v>1200</v>
      </c>
      <c r="H222" t="s">
        <v>21</v>
      </c>
      <c r="I222" t="s">
        <v>81</v>
      </c>
      <c r="J222" t="s">
        <v>58</v>
      </c>
      <c r="K222" t="s">
        <v>17</v>
      </c>
      <c r="L222" t="str">
        <f t="shared" si="12"/>
        <v>OK</v>
      </c>
      <c r="M222" t="str">
        <f t="shared" si="13"/>
        <v>Feb</v>
      </c>
      <c r="N222" t="str">
        <f t="shared" si="14"/>
        <v>Friday</v>
      </c>
      <c r="O222" t="str">
        <f t="shared" si="15"/>
        <v>Cancelled</v>
      </c>
    </row>
    <row r="223" spans="1:15" x14ac:dyDescent="0.35">
      <c r="A223" t="s">
        <v>275</v>
      </c>
      <c r="B223" s="1" t="d">
        <v>2025-02-16</v>
      </c>
      <c r="C223" t="s">
        <v>60</v>
      </c>
      <c r="D223" t="s">
        <v>61</v>
      </c>
      <c r="E223">
        <v>600</v>
      </c>
      <c r="F223">
        <v>2</v>
      </c>
      <c r="G223">
        <v>1200</v>
      </c>
      <c r="H223" t="s">
        <v>72</v>
      </c>
      <c r="I223" t="s">
        <v>63</v>
      </c>
      <c r="J223" t="s">
        <v>39</v>
      </c>
      <c r="K223" t="s">
        <v>17</v>
      </c>
      <c r="L223" t="str">
        <f t="shared" si="12"/>
        <v>OK</v>
      </c>
      <c r="M223" t="str">
        <f t="shared" si="13"/>
        <v>Feb</v>
      </c>
      <c r="N223" t="str">
        <f t="shared" si="14"/>
        <v>Sunday</v>
      </c>
      <c r="O223" t="str">
        <f t="shared" si="15"/>
        <v>Cancelled</v>
      </c>
    </row>
    <row r="224" spans="1:15" x14ac:dyDescent="0.35">
      <c r="A224" t="s">
        <v>276</v>
      </c>
      <c r="B224" s="1" t="d">
        <v>2025-03-24</v>
      </c>
      <c r="C224" t="s">
        <v>53</v>
      </c>
      <c r="D224" t="s">
        <v>36</v>
      </c>
      <c r="E224">
        <v>40</v>
      </c>
      <c r="F224">
        <v>2</v>
      </c>
      <c r="G224">
        <v>80</v>
      </c>
      <c r="H224" t="s">
        <v>51</v>
      </c>
      <c r="I224" t="s">
        <v>26</v>
      </c>
      <c r="J224" t="s">
        <v>27</v>
      </c>
      <c r="K224" t="s">
        <v>17</v>
      </c>
      <c r="L224" t="str">
        <f t="shared" si="12"/>
        <v>OK</v>
      </c>
      <c r="M224" t="str">
        <f t="shared" si="13"/>
        <v>Mar</v>
      </c>
      <c r="N224" t="str">
        <f t="shared" si="14"/>
        <v>Monday</v>
      </c>
      <c r="O224" t="str">
        <f t="shared" si="15"/>
        <v>Cancelled</v>
      </c>
    </row>
    <row r="225" spans="1:15" x14ac:dyDescent="0.35">
      <c r="A225" t="s">
        <v>277</v>
      </c>
      <c r="B225" s="1" t="d">
        <v>2025-03-18</v>
      </c>
      <c r="C225" t="s">
        <v>65</v>
      </c>
      <c r="D225" t="s">
        <v>61</v>
      </c>
      <c r="E225">
        <v>1200</v>
      </c>
      <c r="F225">
        <v>1</v>
      </c>
      <c r="G225">
        <v>1200</v>
      </c>
      <c r="H225" t="s">
        <v>80</v>
      </c>
      <c r="I225" t="s">
        <v>44</v>
      </c>
      <c r="J225" t="s">
        <v>39</v>
      </c>
      <c r="K225" t="s">
        <v>40</v>
      </c>
      <c r="L225" t="str">
        <f t="shared" si="12"/>
        <v>OK</v>
      </c>
      <c r="M225" t="str">
        <f t="shared" si="13"/>
        <v>Mar</v>
      </c>
      <c r="N225" t="str">
        <f t="shared" si="14"/>
        <v>Tuesday</v>
      </c>
      <c r="O225" t="str">
        <f t="shared" si="15"/>
        <v>Delivered</v>
      </c>
    </row>
    <row r="226" spans="1:15" x14ac:dyDescent="0.35">
      <c r="A226" t="s">
        <v>278</v>
      </c>
      <c r="B226" s="1" t="d">
        <v>2025-03-11</v>
      </c>
      <c r="C226" t="s">
        <v>53</v>
      </c>
      <c r="D226" t="s">
        <v>36</v>
      </c>
      <c r="E226">
        <v>40</v>
      </c>
      <c r="F226">
        <v>1</v>
      </c>
      <c r="G226">
        <v>40</v>
      </c>
      <c r="H226" t="s">
        <v>43</v>
      </c>
      <c r="I226" t="s">
        <v>15</v>
      </c>
      <c r="J226" t="s">
        <v>58</v>
      </c>
      <c r="K226" t="s">
        <v>17</v>
      </c>
      <c r="L226" t="str">
        <f t="shared" si="12"/>
        <v>OK</v>
      </c>
      <c r="M226" t="str">
        <f t="shared" si="13"/>
        <v>Mar</v>
      </c>
      <c r="N226" t="str">
        <f t="shared" si="14"/>
        <v>Tuesday</v>
      </c>
      <c r="O226" t="str">
        <f t="shared" si="15"/>
        <v>Cancelled</v>
      </c>
    </row>
    <row r="227" spans="1:15" x14ac:dyDescent="0.35">
      <c r="A227" t="s">
        <v>279</v>
      </c>
      <c r="B227" s="1" t="d">
        <v>2025-03-05</v>
      </c>
      <c r="C227" t="s">
        <v>12</v>
      </c>
      <c r="D227" t="s">
        <v>13</v>
      </c>
      <c r="E227">
        <v>60</v>
      </c>
      <c r="F227">
        <v>4</v>
      </c>
      <c r="G227">
        <v>240</v>
      </c>
      <c r="H227" t="s">
        <v>72</v>
      </c>
      <c r="I227" t="s">
        <v>81</v>
      </c>
      <c r="J227" t="s">
        <v>27</v>
      </c>
      <c r="K227" t="s">
        <v>40</v>
      </c>
      <c r="L227" t="str">
        <f t="shared" si="12"/>
        <v>OK</v>
      </c>
      <c r="M227" t="str">
        <f t="shared" si="13"/>
        <v>Mar</v>
      </c>
      <c r="N227" t="str">
        <f t="shared" si="14"/>
        <v>Wednesday</v>
      </c>
      <c r="O227" t="str">
        <f t="shared" si="15"/>
        <v>Delivered</v>
      </c>
    </row>
    <row r="228" spans="1:15" x14ac:dyDescent="0.35">
      <c r="A228" t="s">
        <v>280</v>
      </c>
      <c r="B228" s="1" t="d">
        <v>2025-04-02</v>
      </c>
      <c r="C228" t="s">
        <v>19</v>
      </c>
      <c r="D228" t="s">
        <v>20</v>
      </c>
      <c r="E228">
        <v>100</v>
      </c>
      <c r="F228">
        <v>5</v>
      </c>
      <c r="G228">
        <v>500</v>
      </c>
      <c r="H228" t="s">
        <v>14</v>
      </c>
      <c r="I228" t="s">
        <v>44</v>
      </c>
      <c r="J228" t="s">
        <v>27</v>
      </c>
      <c r="K228" t="s">
        <v>17</v>
      </c>
      <c r="L228" t="str">
        <f t="shared" si="12"/>
        <v>OK</v>
      </c>
      <c r="M228" t="str">
        <f t="shared" si="13"/>
        <v>Apr</v>
      </c>
      <c r="N228" t="str">
        <f t="shared" si="14"/>
        <v>Wednesday</v>
      </c>
      <c r="O228" t="str">
        <f t="shared" si="15"/>
        <v>Cancelled</v>
      </c>
    </row>
    <row r="229" spans="1:15" x14ac:dyDescent="0.35">
      <c r="A229" t="s">
        <v>281</v>
      </c>
      <c r="B229" s="1" t="d">
        <v>2025-02-12</v>
      </c>
      <c r="C229" t="s">
        <v>12</v>
      </c>
      <c r="D229" t="s">
        <v>13</v>
      </c>
      <c r="E229">
        <v>60</v>
      </c>
      <c r="F229">
        <v>1</v>
      </c>
      <c r="G229">
        <v>60</v>
      </c>
      <c r="H229" t="s">
        <v>51</v>
      </c>
      <c r="I229" t="s">
        <v>22</v>
      </c>
      <c r="J229" t="s">
        <v>31</v>
      </c>
      <c r="K229" t="s">
        <v>23</v>
      </c>
      <c r="L229" t="str">
        <f t="shared" si="12"/>
        <v>OK</v>
      </c>
      <c r="M229" t="str">
        <f t="shared" si="13"/>
        <v>Feb</v>
      </c>
      <c r="N229" t="str">
        <f t="shared" si="14"/>
        <v>Wednesday</v>
      </c>
      <c r="O229" t="str">
        <f t="shared" si="15"/>
        <v>Pending</v>
      </c>
    </row>
    <row r="230" spans="1:15" x14ac:dyDescent="0.35">
      <c r="A230" t="s">
        <v>282</v>
      </c>
      <c r="B230" s="1" t="d">
        <v>2025-03-21</v>
      </c>
      <c r="C230" t="s">
        <v>12</v>
      </c>
      <c r="D230" t="s">
        <v>13</v>
      </c>
      <c r="E230">
        <v>60</v>
      </c>
      <c r="F230">
        <v>3</v>
      </c>
      <c r="G230">
        <v>180</v>
      </c>
      <c r="H230" t="s">
        <v>14</v>
      </c>
      <c r="I230" t="s">
        <v>22</v>
      </c>
      <c r="J230" t="s">
        <v>31</v>
      </c>
      <c r="K230" t="s">
        <v>23</v>
      </c>
      <c r="L230" t="str">
        <f t="shared" si="12"/>
        <v>OK</v>
      </c>
      <c r="M230" t="str">
        <f t="shared" si="13"/>
        <v>Mar</v>
      </c>
      <c r="N230" t="str">
        <f t="shared" si="14"/>
        <v>Friday</v>
      </c>
      <c r="O230" t="str">
        <f t="shared" si="15"/>
        <v>Pending</v>
      </c>
    </row>
    <row r="231" spans="1:15" x14ac:dyDescent="0.35">
      <c r="A231" t="s">
        <v>283</v>
      </c>
      <c r="B231" s="1" t="d">
        <v>2025-03-31</v>
      </c>
      <c r="C231" t="s">
        <v>19</v>
      </c>
      <c r="D231" t="s">
        <v>20</v>
      </c>
      <c r="E231">
        <v>100</v>
      </c>
      <c r="F231">
        <v>4</v>
      </c>
      <c r="G231">
        <v>400</v>
      </c>
      <c r="H231" t="s">
        <v>80</v>
      </c>
      <c r="I231" t="s">
        <v>22</v>
      </c>
      <c r="J231" t="s">
        <v>27</v>
      </c>
      <c r="K231" t="s">
        <v>23</v>
      </c>
      <c r="L231" t="str">
        <f t="shared" si="12"/>
        <v>OK</v>
      </c>
      <c r="M231" t="str">
        <f t="shared" si="13"/>
        <v>Mar</v>
      </c>
      <c r="N231" t="str">
        <f t="shared" si="14"/>
        <v>Monday</v>
      </c>
      <c r="O231" t="str">
        <f t="shared" si="15"/>
        <v>Pending</v>
      </c>
    </row>
    <row r="232" spans="1:15" x14ac:dyDescent="0.35">
      <c r="A232" t="s">
        <v>284</v>
      </c>
      <c r="B232" s="1" t="d">
        <v>2025-02-16</v>
      </c>
      <c r="C232" t="s">
        <v>56</v>
      </c>
      <c r="D232" t="s">
        <v>20</v>
      </c>
      <c r="E232">
        <v>800</v>
      </c>
      <c r="F232">
        <v>5</v>
      </c>
      <c r="G232">
        <v>4000</v>
      </c>
      <c r="H232" t="s">
        <v>80</v>
      </c>
      <c r="I232" t="s">
        <v>46</v>
      </c>
      <c r="J232" t="s">
        <v>31</v>
      </c>
      <c r="K232" t="s">
        <v>17</v>
      </c>
      <c r="L232" t="str">
        <f t="shared" si="12"/>
        <v>OK</v>
      </c>
      <c r="M232" t="str">
        <f t="shared" si="13"/>
        <v>Feb</v>
      </c>
      <c r="N232" t="str">
        <f t="shared" si="14"/>
        <v>Sunday</v>
      </c>
      <c r="O232" t="str">
        <f t="shared" si="15"/>
        <v>Cancelled</v>
      </c>
    </row>
    <row r="233" spans="1:15" x14ac:dyDescent="0.35">
      <c r="A233" t="s">
        <v>285</v>
      </c>
      <c r="B233" s="1" t="d">
        <v>2025-03-14</v>
      </c>
      <c r="C233" t="s">
        <v>65</v>
      </c>
      <c r="D233" t="s">
        <v>61</v>
      </c>
      <c r="E233">
        <v>1200</v>
      </c>
      <c r="F233">
        <v>3</v>
      </c>
      <c r="G233">
        <v>3600</v>
      </c>
      <c r="H233" t="s">
        <v>14</v>
      </c>
      <c r="I233" t="s">
        <v>68</v>
      </c>
      <c r="J233" t="s">
        <v>31</v>
      </c>
      <c r="K233" t="s">
        <v>40</v>
      </c>
      <c r="L233" t="str">
        <f t="shared" si="12"/>
        <v>OK</v>
      </c>
      <c r="M233" t="str">
        <f t="shared" si="13"/>
        <v>Mar</v>
      </c>
      <c r="N233" t="str">
        <f t="shared" si="14"/>
        <v>Friday</v>
      </c>
      <c r="O233" t="str">
        <f t="shared" si="15"/>
        <v>Delivered</v>
      </c>
    </row>
    <row r="234" spans="1:15" x14ac:dyDescent="0.35">
      <c r="A234" t="s">
        <v>286</v>
      </c>
      <c r="B234" s="1" t="d">
        <v>2025-02-20</v>
      </c>
      <c r="C234" t="s">
        <v>12</v>
      </c>
      <c r="D234" t="s">
        <v>13</v>
      </c>
      <c r="E234">
        <v>60</v>
      </c>
      <c r="F234">
        <v>1</v>
      </c>
      <c r="G234">
        <v>60</v>
      </c>
      <c r="H234" t="s">
        <v>51</v>
      </c>
      <c r="I234" t="s">
        <v>46</v>
      </c>
      <c r="J234" t="s">
        <v>39</v>
      </c>
      <c r="K234" t="s">
        <v>17</v>
      </c>
      <c r="L234" t="str">
        <f t="shared" si="12"/>
        <v>OK</v>
      </c>
      <c r="M234" t="str">
        <f t="shared" si="13"/>
        <v>Feb</v>
      </c>
      <c r="N234" t="str">
        <f t="shared" si="14"/>
        <v>Thursday</v>
      </c>
      <c r="O234" t="str">
        <f t="shared" si="15"/>
        <v>Cancelled</v>
      </c>
    </row>
    <row r="235" spans="1:15" x14ac:dyDescent="0.35">
      <c r="A235" t="s">
        <v>287</v>
      </c>
      <c r="B235" s="1" t="d">
        <v>2025-03-08</v>
      </c>
      <c r="C235" t="s">
        <v>49</v>
      </c>
      <c r="D235" t="s">
        <v>50</v>
      </c>
      <c r="E235">
        <v>15</v>
      </c>
      <c r="F235">
        <v>1</v>
      </c>
      <c r="G235">
        <v>15</v>
      </c>
      <c r="H235" t="s">
        <v>80</v>
      </c>
      <c r="I235" t="s">
        <v>44</v>
      </c>
      <c r="J235" t="s">
        <v>27</v>
      </c>
      <c r="K235" t="s">
        <v>17</v>
      </c>
      <c r="L235" t="str">
        <f t="shared" si="12"/>
        <v>OK</v>
      </c>
      <c r="M235" t="str">
        <f t="shared" si="13"/>
        <v>Mar</v>
      </c>
      <c r="N235" t="str">
        <f t="shared" si="14"/>
        <v>Saturday</v>
      </c>
      <c r="O235" t="str">
        <f t="shared" si="15"/>
        <v>Cancelled</v>
      </c>
    </row>
    <row r="236" spans="1:15" x14ac:dyDescent="0.35">
      <c r="A236" t="s">
        <v>288</v>
      </c>
      <c r="B236" s="1" t="d">
        <v>2025-03-23</v>
      </c>
      <c r="C236" t="s">
        <v>65</v>
      </c>
      <c r="D236" t="s">
        <v>61</v>
      </c>
      <c r="E236">
        <v>1200</v>
      </c>
      <c r="F236">
        <v>1</v>
      </c>
      <c r="G236">
        <v>1200</v>
      </c>
      <c r="H236" t="s">
        <v>57</v>
      </c>
      <c r="I236" t="s">
        <v>30</v>
      </c>
      <c r="J236" t="s">
        <v>39</v>
      </c>
      <c r="K236" t="s">
        <v>40</v>
      </c>
      <c r="L236" t="str">
        <f t="shared" si="12"/>
        <v>OK</v>
      </c>
      <c r="M236" t="str">
        <f t="shared" si="13"/>
        <v>Mar</v>
      </c>
      <c r="N236" t="str">
        <f t="shared" si="14"/>
        <v>Sunday</v>
      </c>
      <c r="O236" t="str">
        <f t="shared" si="15"/>
        <v>Delivered</v>
      </c>
    </row>
    <row r="237" spans="1:15" x14ac:dyDescent="0.35">
      <c r="A237" t="s">
        <v>289</v>
      </c>
      <c r="B237" s="1" t="d">
        <v>2025-03-05</v>
      </c>
      <c r="C237" t="s">
        <v>42</v>
      </c>
      <c r="D237" t="s">
        <v>20</v>
      </c>
      <c r="E237">
        <v>500</v>
      </c>
      <c r="F237">
        <v>5</v>
      </c>
      <c r="G237">
        <v>2500</v>
      </c>
      <c r="H237" t="s">
        <v>25</v>
      </c>
      <c r="I237" t="s">
        <v>46</v>
      </c>
      <c r="J237" t="s">
        <v>39</v>
      </c>
      <c r="K237" t="s">
        <v>40</v>
      </c>
      <c r="L237" t="str">
        <f t="shared" si="12"/>
        <v>OK</v>
      </c>
      <c r="M237" t="str">
        <f t="shared" si="13"/>
        <v>Mar</v>
      </c>
      <c r="N237" t="str">
        <f t="shared" si="14"/>
        <v>Wednesday</v>
      </c>
      <c r="O237" t="str">
        <f t="shared" si="15"/>
        <v>Delivered</v>
      </c>
    </row>
    <row r="238" spans="1:15" x14ac:dyDescent="0.35">
      <c r="A238" t="s">
        <v>290</v>
      </c>
      <c r="B238" s="1" t="d">
        <v>2025-02-11</v>
      </c>
      <c r="C238" t="s">
        <v>19</v>
      </c>
      <c r="D238" t="s">
        <v>20</v>
      </c>
      <c r="E238">
        <v>100</v>
      </c>
      <c r="F238">
        <v>3</v>
      </c>
      <c r="G238">
        <v>300</v>
      </c>
      <c r="H238" t="s">
        <v>54</v>
      </c>
      <c r="I238" t="s">
        <v>38</v>
      </c>
      <c r="J238" t="s">
        <v>16</v>
      </c>
      <c r="K238" t="s">
        <v>17</v>
      </c>
      <c r="L238" t="str">
        <f t="shared" si="12"/>
        <v>OK</v>
      </c>
      <c r="M238" t="str">
        <f t="shared" si="13"/>
        <v>Feb</v>
      </c>
      <c r="N238" t="str">
        <f t="shared" si="14"/>
        <v>Tuesday</v>
      </c>
      <c r="O238" t="str">
        <f t="shared" si="15"/>
        <v>Cancelled</v>
      </c>
    </row>
    <row r="239" spans="1:15" x14ac:dyDescent="0.35">
      <c r="A239" t="s">
        <v>291</v>
      </c>
      <c r="B239" s="1" t="d">
        <v>2025-03-16</v>
      </c>
      <c r="C239" t="s">
        <v>19</v>
      </c>
      <c r="D239" t="s">
        <v>20</v>
      </c>
      <c r="E239">
        <v>100</v>
      </c>
      <c r="F239">
        <v>1</v>
      </c>
      <c r="G239">
        <v>100</v>
      </c>
      <c r="H239" t="s">
        <v>29</v>
      </c>
      <c r="I239" t="s">
        <v>26</v>
      </c>
      <c r="J239" t="s">
        <v>39</v>
      </c>
      <c r="K239" t="s">
        <v>40</v>
      </c>
      <c r="L239" t="str">
        <f t="shared" si="12"/>
        <v>OK</v>
      </c>
      <c r="M239" t="str">
        <f t="shared" si="13"/>
        <v>Mar</v>
      </c>
      <c r="N239" t="str">
        <f t="shared" si="14"/>
        <v>Sunday</v>
      </c>
      <c r="O239" t="str">
        <f t="shared" si="15"/>
        <v>Delivered</v>
      </c>
    </row>
    <row r="240" spans="1:15" x14ac:dyDescent="0.35">
      <c r="A240" t="s">
        <v>292</v>
      </c>
      <c r="B240" s="1" t="d">
        <v>2025-03-22</v>
      </c>
      <c r="C240" t="s">
        <v>33</v>
      </c>
      <c r="D240" t="s">
        <v>20</v>
      </c>
      <c r="E240">
        <v>150</v>
      </c>
      <c r="F240">
        <v>5</v>
      </c>
      <c r="G240">
        <v>750</v>
      </c>
      <c r="H240" t="s">
        <v>57</v>
      </c>
      <c r="I240" t="s">
        <v>38</v>
      </c>
      <c r="J240" t="s">
        <v>27</v>
      </c>
      <c r="K240" t="s">
        <v>40</v>
      </c>
      <c r="L240" t="str">
        <f t="shared" si="12"/>
        <v>OK</v>
      </c>
      <c r="M240" t="str">
        <f t="shared" si="13"/>
        <v>Mar</v>
      </c>
      <c r="N240" t="str">
        <f t="shared" si="14"/>
        <v>Saturday</v>
      </c>
      <c r="O240" t="str">
        <f t="shared" si="15"/>
        <v>Delivered</v>
      </c>
    </row>
    <row r="241" spans="1:15" x14ac:dyDescent="0.35">
      <c r="A241" t="s">
        <v>293</v>
      </c>
      <c r="B241" s="1" t="d">
        <v>2025-02-09</v>
      </c>
      <c r="C241" t="s">
        <v>33</v>
      </c>
      <c r="D241" t="s">
        <v>20</v>
      </c>
      <c r="E241">
        <v>150</v>
      </c>
      <c r="F241">
        <v>1</v>
      </c>
      <c r="G241">
        <v>150</v>
      </c>
      <c r="H241" t="s">
        <v>25</v>
      </c>
      <c r="I241" t="s">
        <v>26</v>
      </c>
      <c r="J241" t="s">
        <v>58</v>
      </c>
      <c r="K241" t="s">
        <v>23</v>
      </c>
      <c r="L241" t="str">
        <f t="shared" si="12"/>
        <v>OK</v>
      </c>
      <c r="M241" t="str">
        <f t="shared" si="13"/>
        <v>Feb</v>
      </c>
      <c r="N241" t="str">
        <f t="shared" si="14"/>
        <v>Sunday</v>
      </c>
      <c r="O241" t="str">
        <f t="shared" si="15"/>
        <v>Pending</v>
      </c>
    </row>
    <row r="242" spans="1:15" x14ac:dyDescent="0.35">
      <c r="A242" t="s">
        <v>294</v>
      </c>
      <c r="B242" s="1" t="d">
        <v>2025-03-30</v>
      </c>
      <c r="C242" t="s">
        <v>42</v>
      </c>
      <c r="D242" t="s">
        <v>20</v>
      </c>
      <c r="E242">
        <v>500</v>
      </c>
      <c r="F242">
        <v>4</v>
      </c>
      <c r="G242">
        <v>2000</v>
      </c>
      <c r="H242" t="s">
        <v>29</v>
      </c>
      <c r="I242" t="s">
        <v>15</v>
      </c>
      <c r="J242" t="s">
        <v>31</v>
      </c>
      <c r="K242" t="s">
        <v>23</v>
      </c>
      <c r="L242" t="str">
        <f t="shared" si="12"/>
        <v>OK</v>
      </c>
      <c r="M242" t="str">
        <f t="shared" si="13"/>
        <v>Mar</v>
      </c>
      <c r="N242" t="str">
        <f t="shared" si="14"/>
        <v>Sunday</v>
      </c>
      <c r="O242" t="str">
        <f t="shared" si="15"/>
        <v>Pending</v>
      </c>
    </row>
    <row r="243" spans="1:15" x14ac:dyDescent="0.35">
      <c r="A243" t="s">
        <v>295</v>
      </c>
      <c r="B243" s="1" t="d">
        <v>2025-03-08</v>
      </c>
      <c r="C243" t="s">
        <v>42</v>
      </c>
      <c r="D243" t="s">
        <v>20</v>
      </c>
      <c r="E243">
        <v>500</v>
      </c>
      <c r="F243">
        <v>4</v>
      </c>
      <c r="G243">
        <v>2000</v>
      </c>
      <c r="H243" t="s">
        <v>72</v>
      </c>
      <c r="I243" t="s">
        <v>46</v>
      </c>
      <c r="J243" t="s">
        <v>58</v>
      </c>
      <c r="K243" t="s">
        <v>23</v>
      </c>
      <c r="L243" t="str">
        <f t="shared" si="12"/>
        <v>OK</v>
      </c>
      <c r="M243" t="str">
        <f t="shared" si="13"/>
        <v>Mar</v>
      </c>
      <c r="N243" t="str">
        <f t="shared" si="14"/>
        <v>Saturday</v>
      </c>
      <c r="O243" t="str">
        <f t="shared" si="15"/>
        <v>Pending</v>
      </c>
    </row>
    <row r="244" spans="1:15" x14ac:dyDescent="0.35">
      <c r="A244" t="s">
        <v>296</v>
      </c>
      <c r="B244" s="1" t="d">
        <v>2025-03-05</v>
      </c>
      <c r="C244" t="s">
        <v>12</v>
      </c>
      <c r="D244" t="s">
        <v>13</v>
      </c>
      <c r="E244">
        <v>60</v>
      </c>
      <c r="F244">
        <v>2</v>
      </c>
      <c r="G244">
        <v>120</v>
      </c>
      <c r="H244" t="s">
        <v>72</v>
      </c>
      <c r="I244" t="s">
        <v>38</v>
      </c>
      <c r="J244" t="s">
        <v>27</v>
      </c>
      <c r="K244" t="s">
        <v>40</v>
      </c>
      <c r="L244" t="str">
        <f t="shared" si="12"/>
        <v>OK</v>
      </c>
      <c r="M244" t="str">
        <f t="shared" si="13"/>
        <v>Mar</v>
      </c>
      <c r="N244" t="str">
        <f t="shared" si="14"/>
        <v>Wednesday</v>
      </c>
      <c r="O244" t="str">
        <f t="shared" si="15"/>
        <v>Delivered</v>
      </c>
    </row>
    <row r="245" spans="1:15" x14ac:dyDescent="0.35">
      <c r="A245" t="s">
        <v>297</v>
      </c>
      <c r="B245" s="1" t="d">
        <v>2025-02-06</v>
      </c>
      <c r="C245" t="s">
        <v>42</v>
      </c>
      <c r="D245" t="s">
        <v>20</v>
      </c>
      <c r="E245">
        <v>500</v>
      </c>
      <c r="F245">
        <v>4</v>
      </c>
      <c r="G245">
        <v>2000</v>
      </c>
      <c r="H245" t="s">
        <v>14</v>
      </c>
      <c r="I245" t="s">
        <v>38</v>
      </c>
      <c r="J245" t="s">
        <v>31</v>
      </c>
      <c r="K245" t="s">
        <v>40</v>
      </c>
      <c r="L245" t="str">
        <f t="shared" si="12"/>
        <v>OK</v>
      </c>
      <c r="M245" t="str">
        <f t="shared" si="13"/>
        <v>Feb</v>
      </c>
      <c r="N245" t="str">
        <f t="shared" si="14"/>
        <v>Thursday</v>
      </c>
      <c r="O245" t="str">
        <f t="shared" si="15"/>
        <v>Delivered</v>
      </c>
    </row>
    <row r="246" spans="1:15" x14ac:dyDescent="0.35">
      <c r="A246" t="s">
        <v>298</v>
      </c>
      <c r="B246" s="1" t="d">
        <v>2025-02-04</v>
      </c>
      <c r="C246" t="s">
        <v>56</v>
      </c>
      <c r="D246" t="s">
        <v>20</v>
      </c>
      <c r="E246">
        <v>800</v>
      </c>
      <c r="F246">
        <v>1</v>
      </c>
      <c r="G246">
        <v>800</v>
      </c>
      <c r="H246" t="s">
        <v>54</v>
      </c>
      <c r="I246" t="s">
        <v>68</v>
      </c>
      <c r="J246" t="s">
        <v>31</v>
      </c>
      <c r="K246" t="s">
        <v>17</v>
      </c>
      <c r="L246" t="str">
        <f t="shared" si="12"/>
        <v>OK</v>
      </c>
      <c r="M246" t="str">
        <f t="shared" si="13"/>
        <v>Feb</v>
      </c>
      <c r="N246" t="str">
        <f t="shared" si="14"/>
        <v>Tuesday</v>
      </c>
      <c r="O246" t="str">
        <f t="shared" si="15"/>
        <v>Cancelled</v>
      </c>
    </row>
    <row r="247" spans="1:15" x14ac:dyDescent="0.35">
      <c r="A247" t="s">
        <v>299</v>
      </c>
      <c r="B247" s="1" t="d">
        <v>2025-03-17</v>
      </c>
      <c r="C247" t="s">
        <v>35</v>
      </c>
      <c r="D247" t="s">
        <v>36</v>
      </c>
      <c r="E247">
        <v>20</v>
      </c>
      <c r="F247">
        <v>2</v>
      </c>
      <c r="G247">
        <v>40</v>
      </c>
      <c r="H247" t="s">
        <v>57</v>
      </c>
      <c r="I247" t="s">
        <v>44</v>
      </c>
      <c r="J247" t="s">
        <v>16</v>
      </c>
      <c r="K247" t="s">
        <v>17</v>
      </c>
      <c r="L247" t="str">
        <f t="shared" si="12"/>
        <v>OK</v>
      </c>
      <c r="M247" t="str">
        <f t="shared" si="13"/>
        <v>Mar</v>
      </c>
      <c r="N247" t="str">
        <f t="shared" si="14"/>
        <v>Monday</v>
      </c>
      <c r="O247" t="str">
        <f t="shared" si="15"/>
        <v>Cancelled</v>
      </c>
    </row>
    <row r="248" spans="1:15" x14ac:dyDescent="0.35">
      <c r="A248" t="s">
        <v>300</v>
      </c>
      <c r="B248" s="1" t="d">
        <v>2025-03-30</v>
      </c>
      <c r="C248" t="s">
        <v>53</v>
      </c>
      <c r="D248" t="s">
        <v>36</v>
      </c>
      <c r="E248">
        <v>40</v>
      </c>
      <c r="F248">
        <v>1</v>
      </c>
      <c r="G248">
        <v>40</v>
      </c>
      <c r="H248" t="s">
        <v>43</v>
      </c>
      <c r="I248" t="s">
        <v>30</v>
      </c>
      <c r="J248" t="s">
        <v>16</v>
      </c>
      <c r="K248" t="s">
        <v>17</v>
      </c>
      <c r="L248" t="str">
        <f t="shared" si="12"/>
        <v>OK</v>
      </c>
      <c r="M248" t="str">
        <f t="shared" si="13"/>
        <v>Mar</v>
      </c>
      <c r="N248" t="str">
        <f t="shared" si="14"/>
        <v>Sunday</v>
      </c>
      <c r="O248" t="str">
        <f t="shared" si="15"/>
        <v>Cancelled</v>
      </c>
    </row>
    <row r="249" spans="1:15" x14ac:dyDescent="0.35">
      <c r="A249" t="s">
        <v>301</v>
      </c>
      <c r="B249" s="1" t="d">
        <v>2025-03-05</v>
      </c>
      <c r="C249" t="s">
        <v>35</v>
      </c>
      <c r="D249" t="s">
        <v>36</v>
      </c>
      <c r="E249">
        <v>20</v>
      </c>
      <c r="F249">
        <v>2</v>
      </c>
      <c r="G249">
        <v>40</v>
      </c>
      <c r="H249" t="s">
        <v>72</v>
      </c>
      <c r="I249" t="s">
        <v>26</v>
      </c>
      <c r="J249" t="s">
        <v>16</v>
      </c>
      <c r="K249" t="s">
        <v>17</v>
      </c>
      <c r="L249" t="str">
        <f t="shared" si="12"/>
        <v>OK</v>
      </c>
      <c r="M249" t="str">
        <f t="shared" si="13"/>
        <v>Mar</v>
      </c>
      <c r="N249" t="str">
        <f t="shared" si="14"/>
        <v>Wednesday</v>
      </c>
      <c r="O249" t="str">
        <f t="shared" si="15"/>
        <v>Cancelled</v>
      </c>
    </row>
    <row r="250" spans="1:15" x14ac:dyDescent="0.35">
      <c r="A250" t="s">
        <v>302</v>
      </c>
      <c r="B250" s="1" t="d">
        <v>2025-03-08</v>
      </c>
      <c r="C250" t="s">
        <v>33</v>
      </c>
      <c r="D250" t="s">
        <v>20</v>
      </c>
      <c r="E250">
        <v>150</v>
      </c>
      <c r="F250">
        <v>3</v>
      </c>
      <c r="G250">
        <v>450</v>
      </c>
      <c r="H250" t="s">
        <v>21</v>
      </c>
      <c r="I250" t="s">
        <v>15</v>
      </c>
      <c r="J250" t="s">
        <v>16</v>
      </c>
      <c r="K250" t="s">
        <v>17</v>
      </c>
      <c r="L250" t="str">
        <f t="shared" si="12"/>
        <v>OK</v>
      </c>
      <c r="M250" t="str">
        <f t="shared" si="13"/>
        <v>Mar</v>
      </c>
      <c r="N250" t="str">
        <f t="shared" si="14"/>
        <v>Saturday</v>
      </c>
      <c r="O250" t="str">
        <f t="shared" si="15"/>
        <v>Cancelled</v>
      </c>
    </row>
    <row r="251" spans="1:15" x14ac:dyDescent="0.35">
      <c r="A251" t="s">
        <v>303</v>
      </c>
      <c r="B251" s="1" t="d">
        <v>2025-02-19</v>
      </c>
      <c r="C251" t="s">
        <v>42</v>
      </c>
      <c r="D251" t="s">
        <v>20</v>
      </c>
      <c r="E251">
        <v>500</v>
      </c>
      <c r="F251">
        <v>4</v>
      </c>
      <c r="G251">
        <v>2000</v>
      </c>
      <c r="H251" t="s">
        <v>21</v>
      </c>
      <c r="I251" t="s">
        <v>63</v>
      </c>
      <c r="J251" t="s">
        <v>27</v>
      </c>
      <c r="K251" t="s">
        <v>40</v>
      </c>
      <c r="L251" t="str">
        <f t="shared" si="12"/>
        <v>OK</v>
      </c>
      <c r="M251" t="str">
        <f t="shared" si="13"/>
        <v>Feb</v>
      </c>
      <c r="N251" t="str">
        <f t="shared" si="14"/>
        <v>Wednesday</v>
      </c>
      <c r="O251" t="str">
        <f t="shared" si="15"/>
        <v>Delivered</v>
      </c>
    </row>
  </sheetData>
  <pageMargins left="0.7" right="0.7" top="0.75" bottom="0.75" header="0.3" footer="0.3"/>
  <pageSetup orientation="portrait" r:id="rId1"/>
  <tableParts count="1">
    <tablePart r:id="rId2"/>
  </tableParts>
</worksheet>
</file>

<file path=xl/worksheets/sheet4.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49AD4C-4CF5-4CFB-9ACB-0C1E9E20ADEA}">
  <dimension ref="A3:B9"/>
  <sheetViews>
    <sheetView workbookViewId="0">
      <selection activeCell="J20" sqref="J20"/>
    </sheetView>
  </sheetViews>
  <sheetFormatPr defaultRowHeight="14.5" x14ac:dyDescent="0.35"/>
  <cols>
    <col min="1" max="1" width="15.36328125" bestFit="1" customWidth="1"/>
    <col min="2" max="2" width="16.08984375" bestFit="1" customWidth="1"/>
    <col min="3" max="3" width="15.36328125" bestFit="1" customWidth="1"/>
    <col min="4" max="4" width="8.81640625" bestFit="1" customWidth="1"/>
    <col min="5" max="5" width="7.7265625" bestFit="1" customWidth="1"/>
    <col min="6" max="6" width="5.90625" bestFit="1" customWidth="1"/>
    <col min="7" max="7" width="10.7265625" bestFit="1" customWidth="1"/>
  </cols>
  <sheetData>
    <row r="3" spans="1:2" x14ac:dyDescent="0.35">
      <c r="A3" s="2" t="s">
        <v>304</v>
      </c>
      <c r="B3" t="s">
        <v>306</v>
      </c>
    </row>
    <row r="4" spans="1:2" x14ac:dyDescent="0.35">
      <c r="A4" s="3" t="s">
        <v>20</v>
      </c>
      <c r="B4" s="5">
        <v>129950</v>
      </c>
    </row>
    <row r="5" spans="1:2" x14ac:dyDescent="0.35">
      <c r="A5" s="3" t="s">
        <v>61</v>
      </c>
      <c r="B5" s="5">
        <v>105000</v>
      </c>
    </row>
    <row r="6" spans="1:2" x14ac:dyDescent="0.35">
      <c r="A6" s="3" t="s">
        <v>13</v>
      </c>
      <c r="B6" s="5">
        <v>4320</v>
      </c>
    </row>
    <row r="7" spans="1:2" x14ac:dyDescent="0.35">
      <c r="A7" s="3" t="s">
        <v>36</v>
      </c>
      <c r="B7" s="5">
        <v>3540</v>
      </c>
    </row>
    <row r="8" spans="1:2" x14ac:dyDescent="0.35">
      <c r="A8" s="3" t="s">
        <v>50</v>
      </c>
      <c r="B8" s="5">
        <v>1035</v>
      </c>
    </row>
    <row r="9" spans="1:2" x14ac:dyDescent="0.35">
      <c r="A9" s="3" t="s">
        <v>305</v>
      </c>
      <c r="B9" s="5">
        <v>243845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D8AD36-3D45-4F49-B09D-D3E3793B748D}">
  <dimension ref="A3:B14"/>
  <sheetViews>
    <sheetView workbookViewId="0">
      <selection activeCell="S22" sqref="S22"/>
    </sheetView>
  </sheetViews>
  <sheetFormatPr defaultRowHeight="14.5" x14ac:dyDescent="0.35"/>
  <cols>
    <col min="1" max="1" width="15.7265625" bestFit="1" customWidth="1"/>
    <col min="2" max="2" width="16.08984375" bestFit="1" customWidth="1"/>
  </cols>
  <sheetData>
    <row r="3" spans="1:2" x14ac:dyDescent="0.35">
      <c r="A3" s="2" t="s">
        <v>304</v>
      </c>
      <c r="B3" t="s">
        <v>306</v>
      </c>
    </row>
    <row r="4" spans="1:2" x14ac:dyDescent="0.35">
      <c r="A4" s="3" t="s">
        <v>65</v>
      </c>
      <c r="B4" s="5">
        <v>78000</v>
      </c>
    </row>
    <row r="5" spans="1:2" x14ac:dyDescent="0.35">
      <c r="A5" s="3" t="s">
        <v>56</v>
      </c>
      <c r="B5" s="5">
        <v>58400</v>
      </c>
    </row>
    <row r="6" spans="1:2" x14ac:dyDescent="0.35">
      <c r="A6" s="3" t="s">
        <v>42</v>
      </c>
      <c r="B6" s="5">
        <v>48500</v>
      </c>
    </row>
    <row r="7" spans="1:2" x14ac:dyDescent="0.35">
      <c r="A7" s="3" t="s">
        <v>60</v>
      </c>
      <c r="B7" s="5">
        <v>27000</v>
      </c>
    </row>
    <row r="8" spans="1:2" x14ac:dyDescent="0.35">
      <c r="A8" s="3" t="s">
        <v>33</v>
      </c>
      <c r="B8" s="5">
        <v>15750</v>
      </c>
    </row>
    <row r="9" spans="1:2" x14ac:dyDescent="0.35">
      <c r="A9" s="3" t="s">
        <v>19</v>
      </c>
      <c r="B9" s="5">
        <v>7300</v>
      </c>
    </row>
    <row r="10" spans="1:2" x14ac:dyDescent="0.35">
      <c r="A10" s="3" t="s">
        <v>12</v>
      </c>
      <c r="B10" s="5">
        <v>4320</v>
      </c>
    </row>
    <row r="11" spans="1:2" x14ac:dyDescent="0.35">
      <c r="A11" s="3" t="s">
        <v>53</v>
      </c>
      <c r="B11" s="5">
        <v>2480</v>
      </c>
    </row>
    <row r="12" spans="1:2" x14ac:dyDescent="0.35">
      <c r="A12" s="3" t="s">
        <v>35</v>
      </c>
      <c r="B12" s="5">
        <v>1060</v>
      </c>
    </row>
    <row r="13" spans="1:2" x14ac:dyDescent="0.35">
      <c r="A13" s="3" t="s">
        <v>49</v>
      </c>
      <c r="B13" s="5">
        <v>1035</v>
      </c>
    </row>
    <row r="14" spans="1:2" x14ac:dyDescent="0.35">
      <c r="A14" s="3" t="s">
        <v>305</v>
      </c>
      <c r="B14" s="5">
        <v>243845</v>
      </c>
    </row>
  </sheetData>
  <pageMargins left="0.7" right="0.7" top="0.75" bottom="0.75" header="0.3" footer="0.3"/>
  <drawing r:id="rId2"/>
</worksheet>
</file>

<file path=xl/worksheets/sheet6.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947B60-769A-46E2-A929-71A5C17822DC}">
  <dimension ref="A3:B14"/>
  <sheetViews>
    <sheetView workbookViewId="0">
      <selection activeCell="I24" sqref="I24"/>
    </sheetView>
  </sheetViews>
  <sheetFormatPr defaultRowHeight="14.5" x14ac:dyDescent="0.35"/>
  <cols>
    <col min="1" max="1" width="12.36328125" bestFit="1" customWidth="1"/>
    <col min="2" max="2" width="16.08984375" bestFit="1" customWidth="1"/>
  </cols>
  <sheetData>
    <row r="3" spans="1:2" x14ac:dyDescent="0.35">
      <c r="A3" s="2" t="s">
        <v>304</v>
      </c>
      <c r="B3" t="s">
        <v>306</v>
      </c>
    </row>
    <row r="4" spans="1:2" x14ac:dyDescent="0.35">
      <c r="A4" s="3" t="s">
        <v>44</v>
      </c>
      <c r="B4" s="5">
        <v>31700</v>
      </c>
    </row>
    <row r="5" spans="1:2" x14ac:dyDescent="0.35">
      <c r="A5" s="3" t="s">
        <v>26</v>
      </c>
      <c r="B5" s="5">
        <v>29785</v>
      </c>
    </row>
    <row r="6" spans="1:2" x14ac:dyDescent="0.35">
      <c r="A6" s="3" t="s">
        <v>38</v>
      </c>
      <c r="B6" s="5">
        <v>28390</v>
      </c>
    </row>
    <row r="7" spans="1:2" x14ac:dyDescent="0.35">
      <c r="A7" s="3" t="s">
        <v>30</v>
      </c>
      <c r="B7" s="5">
        <v>27145</v>
      </c>
    </row>
    <row r="8" spans="1:2" x14ac:dyDescent="0.35">
      <c r="A8" s="3" t="s">
        <v>63</v>
      </c>
      <c r="B8" s="5">
        <v>26890</v>
      </c>
    </row>
    <row r="9" spans="1:2" x14ac:dyDescent="0.35">
      <c r="A9" s="3" t="s">
        <v>46</v>
      </c>
      <c r="B9" s="5">
        <v>26170</v>
      </c>
    </row>
    <row r="10" spans="1:2" x14ac:dyDescent="0.35">
      <c r="A10" s="3" t="s">
        <v>81</v>
      </c>
      <c r="B10" s="5">
        <v>20810</v>
      </c>
    </row>
    <row r="11" spans="1:2" x14ac:dyDescent="0.35">
      <c r="A11" s="3" t="s">
        <v>15</v>
      </c>
      <c r="B11" s="5">
        <v>18940</v>
      </c>
    </row>
    <row r="12" spans="1:2" x14ac:dyDescent="0.35">
      <c r="A12" s="3" t="s">
        <v>68</v>
      </c>
      <c r="B12" s="5">
        <v>17820</v>
      </c>
    </row>
    <row r="13" spans="1:2" x14ac:dyDescent="0.35">
      <c r="A13" s="3" t="s">
        <v>22</v>
      </c>
      <c r="B13" s="5">
        <v>16195</v>
      </c>
    </row>
    <row r="14" spans="1:2" x14ac:dyDescent="0.35">
      <c r="A14" s="3" t="s">
        <v>305</v>
      </c>
      <c r="B14" s="5">
        <v>243845</v>
      </c>
    </row>
  </sheetData>
  <pageMargins left="0.7" right="0.7" top="0.75" bottom="0.75" header="0.3" footer="0.3"/>
  <drawing r:id="rId2"/>
</worksheet>
</file>

<file path=xl/worksheets/sheet7.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17273A-CB58-4715-A7C1-B7FDC3B3C876}">
  <dimension ref="A3:B9"/>
  <sheetViews>
    <sheetView workbookViewId="0">
      <selection activeCell="A3" sqref="A3:B9"/>
    </sheetView>
  </sheetViews>
  <sheetFormatPr defaultRowHeight="14.5" x14ac:dyDescent="0.35"/>
  <cols>
    <col min="1" max="1" width="12.36328125" bestFit="1" customWidth="1"/>
    <col min="2" max="2" width="16.08984375" bestFit="1" customWidth="1"/>
  </cols>
  <sheetData>
    <row r="3" spans="1:2" x14ac:dyDescent="0.35">
      <c r="A3" s="2" t="s">
        <v>304</v>
      </c>
      <c r="B3" t="s">
        <v>306</v>
      </c>
    </row>
    <row r="4" spans="1:2" x14ac:dyDescent="0.35">
      <c r="A4" s="3" t="s">
        <v>39</v>
      </c>
      <c r="B4" s="5">
        <v>69645</v>
      </c>
    </row>
    <row r="5" spans="1:2" x14ac:dyDescent="0.35">
      <c r="A5" s="3" t="s">
        <v>31</v>
      </c>
      <c r="B5" s="5">
        <v>61595</v>
      </c>
    </row>
    <row r="6" spans="1:2" x14ac:dyDescent="0.35">
      <c r="A6" s="3" t="s">
        <v>58</v>
      </c>
      <c r="B6" s="5">
        <v>47955</v>
      </c>
    </row>
    <row r="7" spans="1:2" x14ac:dyDescent="0.35">
      <c r="A7" s="3" t="s">
        <v>27</v>
      </c>
      <c r="B7" s="5">
        <v>32750</v>
      </c>
    </row>
    <row r="8" spans="1:2" x14ac:dyDescent="0.35">
      <c r="A8" s="3" t="s">
        <v>16</v>
      </c>
      <c r="B8" s="5">
        <v>31900</v>
      </c>
    </row>
    <row r="9" spans="1:2" x14ac:dyDescent="0.35">
      <c r="A9" s="3" t="s">
        <v>305</v>
      </c>
      <c r="B9" s="5">
        <v>243845</v>
      </c>
    </row>
  </sheetData>
  <pageMargins left="0.7" right="0.7" top="0.75" bottom="0.75" header="0.3" footer="0.3"/>
  <drawing r:id="rId2"/>
</worksheet>
</file>

<file path=xl/worksheets/sheet8.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5FDDA9-B81B-40AA-93FF-25B860E26581}">
  <dimension ref="A3:B7"/>
  <sheetViews>
    <sheetView workbookViewId="0">
      <selection activeCell="A3" sqref="A3:B7"/>
    </sheetView>
  </sheetViews>
  <sheetFormatPr defaultRowHeight="14.5" x14ac:dyDescent="0.35"/>
  <cols>
    <col min="1" max="1" width="12.36328125" bestFit="1" customWidth="1"/>
    <col min="2" max="2" width="15.81640625" bestFit="1" customWidth="1"/>
  </cols>
  <sheetData>
    <row r="3" spans="1:2" x14ac:dyDescent="0.35">
      <c r="A3" s="2" t="s">
        <v>304</v>
      </c>
      <c r="B3" t="s">
        <v>311</v>
      </c>
    </row>
    <row r="4" spans="1:2" x14ac:dyDescent="0.35">
      <c r="A4" s="3" t="s">
        <v>17</v>
      </c>
      <c r="B4" s="5">
        <v>77</v>
      </c>
    </row>
    <row r="5" spans="1:2" x14ac:dyDescent="0.35">
      <c r="A5" s="3" t="s">
        <v>40</v>
      </c>
      <c r="B5" s="5">
        <v>88</v>
      </c>
    </row>
    <row r="6" spans="1:2" x14ac:dyDescent="0.35">
      <c r="A6" s="3" t="s">
        <v>23</v>
      </c>
      <c r="B6" s="5">
        <v>85</v>
      </c>
    </row>
    <row r="7" spans="1:2" x14ac:dyDescent="0.35">
      <c r="A7" s="3" t="s">
        <v>305</v>
      </c>
      <c r="B7" s="5">
        <v>250</v>
      </c>
    </row>
  </sheetData>
  <pageMargins left="0.7" right="0.7" top="0.75" bottom="0.75" header="0.3" footer="0.3"/>
  <drawing r:id="rId2"/>
</worksheet>
</file>

<file path=xl/worksheets/sheet9.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232ED9-0F75-499C-AAB4-7937844B4EC4}">
  <dimension ref="A3:B14"/>
  <sheetViews>
    <sheetView workbookViewId="0">
      <selection activeCell="A3" sqref="A3"/>
    </sheetView>
  </sheetViews>
  <sheetFormatPr defaultRowHeight="14.5" x14ac:dyDescent="0.35"/>
  <cols>
    <col min="1" max="1" width="13.36328125" bestFit="1" customWidth="1"/>
    <col min="2" max="2" width="16.08984375" bestFit="1" customWidth="1"/>
  </cols>
  <sheetData>
    <row r="3" spans="1:2" x14ac:dyDescent="0.35">
      <c r="A3" s="2" t="s">
        <v>304</v>
      </c>
      <c r="B3" t="s">
        <v>306</v>
      </c>
    </row>
    <row r="4" spans="1:2" x14ac:dyDescent="0.35">
      <c r="A4" s="3" t="s">
        <v>29</v>
      </c>
      <c r="B4" s="5">
        <v>36170</v>
      </c>
    </row>
    <row r="5" spans="1:2" x14ac:dyDescent="0.35">
      <c r="A5" s="3" t="s">
        <v>80</v>
      </c>
      <c r="B5" s="5">
        <v>31185</v>
      </c>
    </row>
    <row r="6" spans="1:2" x14ac:dyDescent="0.35">
      <c r="A6" s="3" t="s">
        <v>14</v>
      </c>
      <c r="B6" s="5">
        <v>29700</v>
      </c>
    </row>
    <row r="7" spans="1:2" x14ac:dyDescent="0.35">
      <c r="A7" s="3" t="s">
        <v>25</v>
      </c>
      <c r="B7" s="5">
        <v>26870</v>
      </c>
    </row>
    <row r="8" spans="1:2" x14ac:dyDescent="0.35">
      <c r="A8" s="3" t="s">
        <v>21</v>
      </c>
      <c r="B8" s="5">
        <v>23475</v>
      </c>
    </row>
    <row r="9" spans="1:2" x14ac:dyDescent="0.35">
      <c r="A9" s="3" t="s">
        <v>51</v>
      </c>
      <c r="B9" s="5">
        <v>22665</v>
      </c>
    </row>
    <row r="10" spans="1:2" x14ac:dyDescent="0.35">
      <c r="A10" s="3" t="s">
        <v>54</v>
      </c>
      <c r="B10" s="5">
        <v>22655</v>
      </c>
    </row>
    <row r="11" spans="1:2" x14ac:dyDescent="0.35">
      <c r="A11" s="3" t="s">
        <v>57</v>
      </c>
      <c r="B11" s="5">
        <v>18945</v>
      </c>
    </row>
    <row r="12" spans="1:2" x14ac:dyDescent="0.35">
      <c r="A12" s="3" t="s">
        <v>72</v>
      </c>
      <c r="B12" s="5">
        <v>18885</v>
      </c>
    </row>
    <row r="13" spans="1:2" x14ac:dyDescent="0.35">
      <c r="A13" s="3" t="s">
        <v>43</v>
      </c>
      <c r="B13" s="5">
        <v>13295</v>
      </c>
    </row>
    <row r="14" spans="1:2" x14ac:dyDescent="0.35">
      <c r="A14" s="3" t="s">
        <v>305</v>
      </c>
      <c r="B14" s="5">
        <v>243845</v>
      </c>
    </row>
  </sheetData>
  <pageMargins left="0.7" right="0.7" top="0.75" bottom="0.75" header="0.3" footer="0.3"/>
  <drawing r:id="rId2"/>
</worksheet>
</file>

<file path=xl/worksheets/sheet10.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F950C6-62B3-4AA1-9F55-C4A7641A18A2}">
  <dimension ref="A3:B7"/>
  <sheetViews>
    <sheetView zoomScale="87" zoomScaleNormal="57" workbookViewId="0">
      <selection activeCell="A3" sqref="A3"/>
    </sheetView>
  </sheetViews>
  <sheetFormatPr defaultRowHeight="14.5" x14ac:dyDescent="0.35"/>
  <cols>
    <col min="1" max="1" width="12.81640625" bestFit="1" customWidth="1"/>
    <col min="2" max="2" width="16.08984375" bestFit="1" customWidth="1"/>
    <col min="5" max="5" width="8.7265625" customWidth="1"/>
  </cols>
  <sheetData>
    <row r="3" spans="1:2" x14ac:dyDescent="0.35">
      <c r="A3" s="2" t="s">
        <v>304</v>
      </c>
      <c r="B3" t="s">
        <v>306</v>
      </c>
    </row>
    <row r="4" spans="1:2" x14ac:dyDescent="0.35">
      <c r="A4" s="4" t="s">
        <v>312</v>
      </c>
      <c r="B4" s="5">
        <v>122695</v>
      </c>
    </row>
    <row r="5" spans="1:2" x14ac:dyDescent="0.35">
      <c r="A5" s="4" t="s">
        <v>313</v>
      </c>
      <c r="B5" s="5">
        <v>117730</v>
      </c>
    </row>
    <row r="6" spans="1:2" x14ac:dyDescent="0.35">
      <c r="A6" s="4" t="s">
        <v>314</v>
      </c>
      <c r="B6" s="5">
        <v>3420</v>
      </c>
    </row>
    <row r="7" spans="1:2" x14ac:dyDescent="0.35">
      <c r="A7" s="4" t="s">
        <v>305</v>
      </c>
      <c r="B7" s="5">
        <v>243845</v>
      </c>
    </row>
  </sheetData>
  <pageMargins left="0.7" right="0.7" top="0.75" bottom="0.75" header="0.3" footer="0.3"/>
  <drawing r:id="rId2"/>
</worksheet>
</file>

<file path=xl/worksheets/sheet11.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623B25-EB50-49D7-8290-8F8ACC2D7335}">
  <dimension ref="P2:Y7"/>
  <sheetViews>
    <sheetView showGridLines="0" showRowColHeaders="0" tabSelected="1" zoomScale="53" zoomScaleNormal="80" workbookViewId="0">
      <selection activeCell="Z57" sqref="Z57"/>
    </sheetView>
  </sheetViews>
  <sheetFormatPr defaultRowHeight="14.5" x14ac:dyDescent="0.35"/>
  <cols>
    <col min="1" max="16384" width="8.7265625" style="13"/>
  </cols>
  <sheetData>
    <row r="2" spans="16:25" ht="31" x14ac:dyDescent="0.7">
      <c r="P2" s="12" t="s">
        <v>315</v>
      </c>
      <c r="Q2" s="12"/>
      <c r="R2" s="12"/>
      <c r="S2" s="12"/>
      <c r="T2" s="12"/>
      <c r="U2" s="12"/>
      <c r="V2" s="12"/>
      <c r="W2" s="12"/>
      <c r="X2" s="12"/>
      <c r="Y2" s="12"/>
    </row>
    <row r="5" spans="16:25" ht="15.5" x14ac:dyDescent="0.35">
      <c r="P5" s="6" t="s">
        <v>316</v>
      </c>
      <c r="Q5" s="7"/>
      <c r="R5" s="6" t="s">
        <v>317</v>
      </c>
      <c r="S5" s="7"/>
      <c r="T5" s="6" t="s">
        <v>318</v>
      </c>
      <c r="U5" s="7"/>
      <c r="V5" s="6" t="s">
        <v>319</v>
      </c>
      <c r="W5" s="7"/>
      <c r="X5" s="6" t="s">
        <v>320</v>
      </c>
      <c r="Y5" s="7"/>
    </row>
    <row r="6" spans="16:25" ht="14.5" customHeight="1" x14ac:dyDescent="0.35">
      <c r="P6" s="8">
        <v>243845</v>
      </c>
      <c r="Q6" s="9"/>
      <c r="R6" s="8">
        <v>250</v>
      </c>
      <c r="S6" s="9"/>
      <c r="T6" s="8">
        <v>88</v>
      </c>
      <c r="U6" s="9"/>
      <c r="V6" s="8">
        <v>77</v>
      </c>
      <c r="W6" s="9"/>
      <c r="X6" s="8">
        <v>85</v>
      </c>
      <c r="Y6" s="9"/>
    </row>
    <row r="7" spans="16:25" ht="14.5" customHeight="1" x14ac:dyDescent="0.35">
      <c r="P7" s="10"/>
      <c r="Q7" s="11"/>
      <c r="R7" s="10"/>
      <c r="S7" s="11"/>
      <c r="T7" s="10"/>
      <c r="U7" s="11"/>
      <c r="V7" s="10"/>
      <c r="W7" s="11"/>
      <c r="X7" s="10"/>
      <c r="Y7" s="11"/>
    </row>
  </sheetData>
  <mergeCells count="11">
    <mergeCell ref="P2:Y2"/>
    <mergeCell ref="X6:Y7"/>
    <mergeCell ref="T6:U7"/>
    <mergeCell ref="X5:Y5"/>
    <mergeCell ref="V5:W5"/>
    <mergeCell ref="T5:U5"/>
    <mergeCell ref="R6:S7"/>
    <mergeCell ref="R5:S5"/>
    <mergeCell ref="P6:Q7"/>
    <mergeCell ref="P5:Q5"/>
    <mergeCell ref="V6:W7"/>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purl.oclc.org/ooxml/officeDocument/extendedProperties" xmlns:vt="http://purl.oclc.org/ooxml/officeDocument/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amazon_sales_data 2025</vt:lpstr>
      <vt:lpstr>Raw_Data</vt:lpstr>
      <vt:lpstr>Cleaned_Data</vt:lpstr>
      <vt:lpstr>PVT_Category</vt:lpstr>
      <vt:lpstr>PVT_Product</vt:lpstr>
      <vt:lpstr>PVT_Location</vt:lpstr>
      <vt:lpstr>PVT_Payment</vt:lpstr>
      <vt:lpstr>PVT_Status</vt:lpstr>
      <vt:lpstr>PVT_Customer</vt:lpstr>
      <vt:lpstr>PVT_Month</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Sri Dharma</dc:creator>
  <cp:lastModifiedBy>Sri Dharma</cp:lastModifiedBy>
  <dcterms:created xsi:type="dcterms:W3CDTF">2026-08-24T15:57:12Z</dcterms:created>
  <dcterms:modified xsi:type="dcterms:W3CDTF">2026-08-27T12:13:46Z</dcterms:modified>
</cp:coreProperties>
</file>